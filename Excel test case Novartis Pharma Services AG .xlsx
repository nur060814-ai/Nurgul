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Приветствую\Downloads\"/>
    </mc:Choice>
  </mc:AlternateContent>
  <xr:revisionPtr revIDLastSave="0" documentId="13_ncr:1_{868760F5-800F-4046-9187-29F692B01E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2" l="1"/>
  <c r="F21" i="2" s="1"/>
  <c r="C22" i="2" s="1"/>
  <c r="B22" i="2" s="1"/>
  <c r="D20" i="2"/>
  <c r="F20" i="2" s="1"/>
  <c r="C21" i="2" s="1"/>
  <c r="B21" i="2" s="1"/>
  <c r="D19" i="2" a="1"/>
  <c r="D19" i="2" s="1"/>
  <c r="F19" i="2" s="1"/>
  <c r="C20" i="2" s="1"/>
  <c r="B20" i="2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D16" i="2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F4" i="2" s="1"/>
  <c r="C5" i="2" s="1"/>
  <c r="B5" i="2" s="1"/>
  <c r="D3" i="2"/>
  <c r="F3" i="2" s="1"/>
  <c r="C4" i="2" s="1"/>
  <c r="B4" i="2" s="1"/>
  <c r="F24" i="2"/>
  <c r="C25" i="2" s="1"/>
  <c r="B25" i="2" s="1"/>
  <c r="H380" i="1"/>
  <c r="F22" i="2"/>
  <c r="C23" i="2" s="1"/>
  <c r="B23" i="2" s="1"/>
  <c r="H388" i="1" a="1"/>
  <c r="H388" i="1" s="1"/>
  <c r="F23" i="2"/>
  <c r="C24" i="2" s="1"/>
  <c r="B24" i="2" s="1"/>
  <c r="A3" i="4" a="1"/>
  <c r="A3" i="4" s="1"/>
  <c r="A2" i="4"/>
  <c r="A1" i="4"/>
  <c r="F26" i="2"/>
  <c r="C27" i="2" s="1"/>
  <c r="F25" i="2"/>
  <c r="C26" i="2" s="1"/>
  <c r="B2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<sst xmlns="http://schemas.openxmlformats.org/spreadsheetml/2006/main" count="636" uniqueCount="18">
  <si>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</si>
  <si>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</si>
  <si>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</si>
  <si>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</si>
  <si>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</si>
  <si>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</si>
  <si>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</si>
  <si>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</si>
  <si>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</si>
  <si>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</si>
  <si>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</si>
  <si>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</si>
  <si>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</si>
  <si>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</si>
  <si>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</si>
  <si>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</si>
  <si>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</si>
  <si>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=ВПР(A88; 'База данных'!$A$2:$B$624; 2;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</si>
</sst>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18" zoomScale="85" zoomScaleNormal="85" workbookViewId="0">
      <selection activeCell="D22" sqref="D22"/>
    </sheetView>
  </sheetViews>
  <sheetFormatPr defaultColWidth="9.109375" defaultRowHeight="14.4" x14ac:dyDescent="0.3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 x14ac:dyDescent="0.3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">
      <c r="A3" s="5">
        <v>1</v>
      </c>
      <c r="B3" s="11">
        <v>1</v>
      </c>
      <c r="C3" s="12" t="s">
        <v>11</v>
      </c>
      <c r="D3" s="2">
        <f>SUM('База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37">
        <f>COUNTA('База данных'!A:A)-1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данных'!E2:E624)/60, 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данных'!C2:C624, "Внутри сети", 'База данных'!D2:D624)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данных'!C2:C624, "На других операторов", 'База данных'!E2:E624)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данных'!B2:B624, 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данных'!D2:D624) / (SUM('База данных'!E2:E624) / 60), 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42">
        <f>ROUND(AVERAGE('База данных'!E2:E624), 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данных'!E2:E624, 'База данных'!C2:C624, "На городской", 'База данных'!B2:B624, 5)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данных'!C2:C624, "На межнар", 'База данных'!B2:B624, 1)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данных'!C2:C624, "Внутри сети", 'База данных'!E2:E624) / SUM('База данных'!E2:E624), 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данных'!B2:B624, 1, 'База данных'!D2:D624) / SUM('База данных'!D2:D624), 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COUNTA(_xlfn.UNIQUE('База данных'!A1:A624))-1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COUNTA(_xlfn.UNIQUE(_xlfn._xlws.FILTER('База данных'!A2:A624, 'База данных'!C2:C624="Внутри сети")))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COUNTA(_xlfn.UNIQUE(_xlfn._xlws.FILTER('База данных'!A2:A624, 'База данных'!B2:B624=6)))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3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 cm="1">
        <f t="array" ref="D19">ROUND(COUNTA(_xlfn.UNIQUE(_xlfn._xlws.FILTER('База данных'!A2:A624, 'База данных'!B2:B624=2))) / (COUNTA(_xlfn.UNIQUE('База данных'!A2:A624))), 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ROUND(SUM('База данных'!D2:D624) / COUNTA(_xlfn.UNIQUE('База данных'!A2:A624)), 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3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ROUND((SUM('База данных'!E2:E624) / 60) / COUNTA(_xlfn.UNIQUE('База данных'!A2:A624)), 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3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 t="s">
        <v>17</v>
      </c>
      <c r="F22" s="11" t="str">
        <f t="shared" si="0"/>
        <v>Неправильный ответ</v>
      </c>
      <c r="O22" s="5">
        <v>2705</v>
      </c>
      <c r="P22" s="31"/>
    </row>
    <row r="23" spans="1:16" ht="46.5" customHeight="1" x14ac:dyDescent="0.3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" customHeight="1" x14ac:dyDescent="0.3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3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" customHeight="1" x14ac:dyDescent="0.3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/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" customHeight="1" x14ac:dyDescent="0.3">
      <c r="C27" s="13" t="str">
        <f>IF(F26="Правильный ответ","Тест пройден. Поздравляем!","")</f>
        <v/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topLeftCell="A589" zoomScale="85" zoomScaleNormal="85" workbookViewId="0">
      <selection activeCell="F643" sqref="F643"/>
    </sheetView>
  </sheetViews>
  <sheetFormatPr defaultRowHeight="14.4" x14ac:dyDescent="0.3"/>
  <cols>
    <col min="1" max="1" width="20.5546875" style="26" customWidth="1"/>
    <col min="2" max="2" width="16.6640625" style="26" customWidth="1"/>
    <col min="3" max="3" width="32.5546875" style="26" customWidth="1"/>
    <col min="4" max="4" width="18.33203125" style="26" customWidth="1"/>
    <col min="5" max="5" width="24" style="35" customWidth="1"/>
  </cols>
  <sheetData>
    <row r="1" spans="1:5" s="1" customFormat="1" ht="28.8" x14ac:dyDescent="0.3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</row>
    <row r="2" spans="1:5" x14ac:dyDescent="0.3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</row>
    <row r="3" spans="1:5" x14ac:dyDescent="0.3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</row>
    <row r="4" spans="1:5" x14ac:dyDescent="0.3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</row>
    <row r="5" spans="1:5" x14ac:dyDescent="0.3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</row>
    <row r="6" spans="1:5" x14ac:dyDescent="0.3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</row>
    <row r="7" spans="1:5" x14ac:dyDescent="0.3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</row>
    <row r="8" spans="1:5" x14ac:dyDescent="0.3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</row>
    <row r="9" spans="1:5" x14ac:dyDescent="0.3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</row>
    <row r="10" spans="1:5" x14ac:dyDescent="0.3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</row>
    <row r="11" spans="1:5" x14ac:dyDescent="0.3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</row>
    <row r="12" spans="1:5" x14ac:dyDescent="0.3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</row>
    <row r="13" spans="1:5" x14ac:dyDescent="0.3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</row>
    <row r="14" spans="1:5" x14ac:dyDescent="0.3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</row>
    <row r="15" spans="1:5" x14ac:dyDescent="0.3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</row>
    <row r="16" spans="1:5" x14ac:dyDescent="0.3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</row>
    <row r="17" spans="1:5" x14ac:dyDescent="0.3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</row>
    <row r="18" spans="1:5" x14ac:dyDescent="0.3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</row>
    <row r="19" spans="1:5" x14ac:dyDescent="0.3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</row>
    <row r="20" spans="1:5" x14ac:dyDescent="0.3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</row>
    <row r="21" spans="1:5" x14ac:dyDescent="0.3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</row>
    <row r="22" spans="1:5" x14ac:dyDescent="0.3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</row>
    <row r="23" spans="1:5" x14ac:dyDescent="0.3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</row>
    <row r="24" spans="1:5" x14ac:dyDescent="0.3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</row>
    <row r="25" spans="1:5" x14ac:dyDescent="0.3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</row>
    <row r="26" spans="1:5" x14ac:dyDescent="0.3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</row>
    <row r="27" spans="1:5" x14ac:dyDescent="0.3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</row>
    <row r="28" spans="1:5" x14ac:dyDescent="0.3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</row>
    <row r="29" spans="1:5" x14ac:dyDescent="0.3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</row>
    <row r="30" spans="1:5" x14ac:dyDescent="0.3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</row>
    <row r="31" spans="1:5" x14ac:dyDescent="0.3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</row>
    <row r="32" spans="1:5" x14ac:dyDescent="0.3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</row>
    <row r="33" spans="1:5" x14ac:dyDescent="0.3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</row>
    <row r="34" spans="1:5" x14ac:dyDescent="0.3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</row>
    <row r="35" spans="1:5" x14ac:dyDescent="0.3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</row>
    <row r="36" spans="1:5" x14ac:dyDescent="0.3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</row>
    <row r="37" spans="1:5" x14ac:dyDescent="0.3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</row>
    <row r="38" spans="1:5" x14ac:dyDescent="0.3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</row>
    <row r="39" spans="1:5" x14ac:dyDescent="0.3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</row>
    <row r="40" spans="1:5" x14ac:dyDescent="0.3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</row>
    <row r="41" spans="1:5" x14ac:dyDescent="0.3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</row>
    <row r="42" spans="1:5" x14ac:dyDescent="0.3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</row>
    <row r="43" spans="1:5" x14ac:dyDescent="0.3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</row>
    <row r="44" spans="1:5" x14ac:dyDescent="0.3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</row>
    <row r="45" spans="1:5" x14ac:dyDescent="0.3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</row>
    <row r="46" spans="1:5" x14ac:dyDescent="0.3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</row>
    <row r="47" spans="1:5" x14ac:dyDescent="0.3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</row>
    <row r="48" spans="1:5" x14ac:dyDescent="0.3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</row>
    <row r="49" spans="1:5" x14ac:dyDescent="0.3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</row>
    <row r="50" spans="1:5" x14ac:dyDescent="0.3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</row>
    <row r="51" spans="1:5" x14ac:dyDescent="0.3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</row>
    <row r="52" spans="1:5" x14ac:dyDescent="0.3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</row>
    <row r="53" spans="1:5" x14ac:dyDescent="0.3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</row>
    <row r="54" spans="1:5" x14ac:dyDescent="0.3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</row>
    <row r="55" spans="1:5" x14ac:dyDescent="0.3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</row>
    <row r="56" spans="1:5" x14ac:dyDescent="0.3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</row>
    <row r="57" spans="1:5" x14ac:dyDescent="0.3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</row>
    <row r="58" spans="1:5" x14ac:dyDescent="0.3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</row>
    <row r="59" spans="1:5" x14ac:dyDescent="0.3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</row>
    <row r="60" spans="1:5" x14ac:dyDescent="0.3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</row>
    <row r="61" spans="1:5" x14ac:dyDescent="0.3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</row>
    <row r="62" spans="1:5" x14ac:dyDescent="0.3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</row>
    <row r="63" spans="1:5" x14ac:dyDescent="0.3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</row>
    <row r="64" spans="1:5" x14ac:dyDescent="0.3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</row>
    <row r="65" spans="1:5" x14ac:dyDescent="0.3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</row>
    <row r="66" spans="1:5" x14ac:dyDescent="0.3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</row>
    <row r="67" spans="1:5" x14ac:dyDescent="0.3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</row>
    <row r="68" spans="1:5" x14ac:dyDescent="0.3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</row>
    <row r="69" spans="1:5" x14ac:dyDescent="0.3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</row>
    <row r="70" spans="1:5" x14ac:dyDescent="0.3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</row>
    <row r="71" spans="1:5" x14ac:dyDescent="0.3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</row>
    <row r="72" spans="1:5" x14ac:dyDescent="0.3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</row>
    <row r="73" spans="1:5" x14ac:dyDescent="0.3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</row>
    <row r="74" spans="1:5" x14ac:dyDescent="0.3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</row>
    <row r="75" spans="1:5" x14ac:dyDescent="0.3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</row>
    <row r="76" spans="1:5" x14ac:dyDescent="0.3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</row>
    <row r="77" spans="1:5" x14ac:dyDescent="0.3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</row>
    <row r="78" spans="1:5" x14ac:dyDescent="0.3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</row>
    <row r="79" spans="1:5" x14ac:dyDescent="0.3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</row>
    <row r="80" spans="1:5" x14ac:dyDescent="0.3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</row>
    <row r="81" spans="1:5" x14ac:dyDescent="0.3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</row>
    <row r="82" spans="1:5" x14ac:dyDescent="0.3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</row>
    <row r="83" spans="1:5" x14ac:dyDescent="0.3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</row>
    <row r="84" spans="1:5" x14ac:dyDescent="0.3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</row>
    <row r="85" spans="1:5" x14ac:dyDescent="0.3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</row>
    <row r="86" spans="1:5" x14ac:dyDescent="0.3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</row>
    <row r="87" spans="1:5" x14ac:dyDescent="0.3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</row>
    <row r="88" spans="1:5" x14ac:dyDescent="0.3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</row>
    <row r="89" spans="1:5" x14ac:dyDescent="0.3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</row>
    <row r="90" spans="1:5" x14ac:dyDescent="0.3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</row>
    <row r="91" spans="1:5" x14ac:dyDescent="0.3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</row>
    <row r="92" spans="1:5" x14ac:dyDescent="0.3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</row>
    <row r="93" spans="1:5" x14ac:dyDescent="0.3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</row>
    <row r="94" spans="1:5" x14ac:dyDescent="0.3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</row>
    <row r="95" spans="1:5" x14ac:dyDescent="0.3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</row>
    <row r="96" spans="1:5" x14ac:dyDescent="0.3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</row>
    <row r="97" spans="1:5" x14ac:dyDescent="0.3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</row>
    <row r="98" spans="1:5" x14ac:dyDescent="0.3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</row>
    <row r="99" spans="1:5" x14ac:dyDescent="0.3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</row>
    <row r="100" spans="1:5" x14ac:dyDescent="0.3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</row>
    <row r="101" spans="1:5" x14ac:dyDescent="0.3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</row>
    <row r="102" spans="1:5" x14ac:dyDescent="0.3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</row>
    <row r="103" spans="1:5" x14ac:dyDescent="0.3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</row>
    <row r="104" spans="1:5" x14ac:dyDescent="0.3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</row>
    <row r="105" spans="1:5" x14ac:dyDescent="0.3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</row>
    <row r="106" spans="1:5" x14ac:dyDescent="0.3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</row>
    <row r="107" spans="1:5" x14ac:dyDescent="0.3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</row>
    <row r="108" spans="1:5" x14ac:dyDescent="0.3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</row>
    <row r="109" spans="1:5" x14ac:dyDescent="0.3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</row>
    <row r="110" spans="1:5" x14ac:dyDescent="0.3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</row>
    <row r="111" spans="1:5" x14ac:dyDescent="0.3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</row>
    <row r="112" spans="1:5" x14ac:dyDescent="0.3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</row>
    <row r="113" spans="1:5" x14ac:dyDescent="0.3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</row>
    <row r="114" spans="1:5" x14ac:dyDescent="0.3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</row>
    <row r="115" spans="1:5" x14ac:dyDescent="0.3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</row>
    <row r="116" spans="1:5" x14ac:dyDescent="0.3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</row>
    <row r="117" spans="1:5" x14ac:dyDescent="0.3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</row>
    <row r="118" spans="1:5" x14ac:dyDescent="0.3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</row>
    <row r="119" spans="1:5" x14ac:dyDescent="0.3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</row>
    <row r="120" spans="1:5" x14ac:dyDescent="0.3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</row>
    <row r="121" spans="1:5" x14ac:dyDescent="0.3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</row>
    <row r="122" spans="1:5" x14ac:dyDescent="0.3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</row>
    <row r="123" spans="1:5" x14ac:dyDescent="0.3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</row>
    <row r="124" spans="1:5" x14ac:dyDescent="0.3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</row>
    <row r="125" spans="1:5" x14ac:dyDescent="0.3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</row>
    <row r="126" spans="1:5" x14ac:dyDescent="0.3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</row>
    <row r="127" spans="1:5" x14ac:dyDescent="0.3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</row>
    <row r="128" spans="1:5" x14ac:dyDescent="0.3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</row>
    <row r="129" spans="1:5" x14ac:dyDescent="0.3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</row>
    <row r="130" spans="1:5" x14ac:dyDescent="0.3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</row>
    <row r="131" spans="1:5" x14ac:dyDescent="0.3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</row>
    <row r="132" spans="1:5" x14ac:dyDescent="0.3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</row>
    <row r="133" spans="1:5" x14ac:dyDescent="0.3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</row>
    <row r="134" spans="1:5" x14ac:dyDescent="0.3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</row>
    <row r="135" spans="1:5" x14ac:dyDescent="0.3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</row>
    <row r="136" spans="1:5" x14ac:dyDescent="0.3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</row>
    <row r="137" spans="1:5" x14ac:dyDescent="0.3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</row>
    <row r="138" spans="1:5" x14ac:dyDescent="0.3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</row>
    <row r="139" spans="1:5" x14ac:dyDescent="0.3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</row>
    <row r="140" spans="1:5" x14ac:dyDescent="0.3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</row>
    <row r="141" spans="1:5" x14ac:dyDescent="0.3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</row>
    <row r="142" spans="1:5" x14ac:dyDescent="0.3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</row>
    <row r="143" spans="1:5" x14ac:dyDescent="0.3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</row>
    <row r="144" spans="1:5" x14ac:dyDescent="0.3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</row>
    <row r="145" spans="1:5" x14ac:dyDescent="0.3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</row>
    <row r="146" spans="1:5" x14ac:dyDescent="0.3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</row>
    <row r="147" spans="1:5" x14ac:dyDescent="0.3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</row>
    <row r="148" spans="1:5" x14ac:dyDescent="0.3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</row>
    <row r="149" spans="1:5" x14ac:dyDescent="0.3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</row>
    <row r="150" spans="1:5" x14ac:dyDescent="0.3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</row>
    <row r="151" spans="1:5" x14ac:dyDescent="0.3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</row>
    <row r="152" spans="1:5" x14ac:dyDescent="0.3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</row>
    <row r="153" spans="1:5" x14ac:dyDescent="0.3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</row>
    <row r="154" spans="1:5" x14ac:dyDescent="0.3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</row>
    <row r="155" spans="1:5" x14ac:dyDescent="0.3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</row>
    <row r="156" spans="1:5" x14ac:dyDescent="0.3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</row>
    <row r="157" spans="1:5" x14ac:dyDescent="0.3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</row>
    <row r="158" spans="1:5" x14ac:dyDescent="0.3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</row>
    <row r="159" spans="1:5" x14ac:dyDescent="0.3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</row>
    <row r="160" spans="1:5" x14ac:dyDescent="0.3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</row>
    <row r="161" spans="1:5" x14ac:dyDescent="0.3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</row>
    <row r="162" spans="1:5" x14ac:dyDescent="0.3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</row>
    <row r="163" spans="1:5" x14ac:dyDescent="0.3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</row>
    <row r="164" spans="1:5" x14ac:dyDescent="0.3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</row>
    <row r="165" spans="1:5" x14ac:dyDescent="0.3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</row>
    <row r="166" spans="1:5" x14ac:dyDescent="0.3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</row>
    <row r="167" spans="1:5" x14ac:dyDescent="0.3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</row>
    <row r="168" spans="1:5" x14ac:dyDescent="0.3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</row>
    <row r="169" spans="1:5" x14ac:dyDescent="0.3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</row>
    <row r="170" spans="1:5" x14ac:dyDescent="0.3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</row>
    <row r="171" spans="1:5" x14ac:dyDescent="0.3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</row>
    <row r="172" spans="1:5" x14ac:dyDescent="0.3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</row>
    <row r="173" spans="1:5" x14ac:dyDescent="0.3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</row>
    <row r="174" spans="1:5" x14ac:dyDescent="0.3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</row>
    <row r="175" spans="1:5" x14ac:dyDescent="0.3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</row>
    <row r="176" spans="1:5" x14ac:dyDescent="0.3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</row>
    <row r="177" spans="1:5" x14ac:dyDescent="0.3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</row>
    <row r="178" spans="1:5" x14ac:dyDescent="0.3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</row>
    <row r="179" spans="1:5" x14ac:dyDescent="0.3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</row>
    <row r="180" spans="1:5" x14ac:dyDescent="0.3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</row>
    <row r="181" spans="1:5" x14ac:dyDescent="0.3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</row>
    <row r="182" spans="1:5" x14ac:dyDescent="0.3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</row>
    <row r="183" spans="1:5" x14ac:dyDescent="0.3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</row>
    <row r="184" spans="1:5" x14ac:dyDescent="0.3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</row>
    <row r="185" spans="1:5" x14ac:dyDescent="0.3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</row>
    <row r="186" spans="1:5" x14ac:dyDescent="0.3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</row>
    <row r="187" spans="1:5" x14ac:dyDescent="0.3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</row>
    <row r="188" spans="1:5" x14ac:dyDescent="0.3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</row>
    <row r="189" spans="1:5" x14ac:dyDescent="0.3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</row>
    <row r="190" spans="1:5" x14ac:dyDescent="0.3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</row>
    <row r="191" spans="1:5" x14ac:dyDescent="0.3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</row>
    <row r="192" spans="1:5" x14ac:dyDescent="0.3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</row>
    <row r="193" spans="1:5" x14ac:dyDescent="0.3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</row>
    <row r="194" spans="1:5" x14ac:dyDescent="0.3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</row>
    <row r="195" spans="1:5" x14ac:dyDescent="0.3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</row>
    <row r="196" spans="1:5" x14ac:dyDescent="0.3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</row>
    <row r="197" spans="1:5" x14ac:dyDescent="0.3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</row>
    <row r="198" spans="1:5" x14ac:dyDescent="0.3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</row>
    <row r="199" spans="1:5" x14ac:dyDescent="0.3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</row>
    <row r="200" spans="1:5" x14ac:dyDescent="0.3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</row>
    <row r="201" spans="1:5" x14ac:dyDescent="0.3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</row>
    <row r="202" spans="1:5" x14ac:dyDescent="0.3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</row>
    <row r="203" spans="1:5" x14ac:dyDescent="0.3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</row>
    <row r="204" spans="1:5" x14ac:dyDescent="0.3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</row>
    <row r="205" spans="1:5" x14ac:dyDescent="0.3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</row>
    <row r="206" spans="1:5" x14ac:dyDescent="0.3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</row>
    <row r="207" spans="1:5" x14ac:dyDescent="0.3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</row>
    <row r="208" spans="1:5" x14ac:dyDescent="0.3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</row>
    <row r="209" spans="1:5" x14ac:dyDescent="0.3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</row>
    <row r="210" spans="1:5" x14ac:dyDescent="0.3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</row>
    <row r="211" spans="1:5" x14ac:dyDescent="0.3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</row>
    <row r="212" spans="1:5" x14ac:dyDescent="0.3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</row>
    <row r="213" spans="1:5" x14ac:dyDescent="0.3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</row>
    <row r="214" spans="1:5" x14ac:dyDescent="0.3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</row>
    <row r="215" spans="1:5" x14ac:dyDescent="0.3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</row>
    <row r="216" spans="1:5" x14ac:dyDescent="0.3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</row>
    <row r="217" spans="1:5" x14ac:dyDescent="0.3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</row>
    <row r="218" spans="1:5" x14ac:dyDescent="0.3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</row>
    <row r="219" spans="1:5" x14ac:dyDescent="0.3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</row>
    <row r="220" spans="1:5" x14ac:dyDescent="0.3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</row>
    <row r="221" spans="1:5" x14ac:dyDescent="0.3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</row>
    <row r="222" spans="1:5" x14ac:dyDescent="0.3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</row>
    <row r="223" spans="1:5" x14ac:dyDescent="0.3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</row>
    <row r="224" spans="1:5" x14ac:dyDescent="0.3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</row>
    <row r="225" spans="1:5" x14ac:dyDescent="0.3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</row>
    <row r="226" spans="1:5" x14ac:dyDescent="0.3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</row>
    <row r="227" spans="1:5" x14ac:dyDescent="0.3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</row>
    <row r="228" spans="1:5" x14ac:dyDescent="0.3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</row>
    <row r="229" spans="1:5" x14ac:dyDescent="0.3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</row>
    <row r="230" spans="1:5" x14ac:dyDescent="0.3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</row>
    <row r="231" spans="1:5" x14ac:dyDescent="0.3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</row>
    <row r="232" spans="1:5" x14ac:dyDescent="0.3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</row>
    <row r="233" spans="1:5" x14ac:dyDescent="0.3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</row>
    <row r="234" spans="1:5" x14ac:dyDescent="0.3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</row>
    <row r="235" spans="1:5" x14ac:dyDescent="0.3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</row>
    <row r="236" spans="1:5" x14ac:dyDescent="0.3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</row>
    <row r="237" spans="1:5" x14ac:dyDescent="0.3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</row>
    <row r="238" spans="1:5" x14ac:dyDescent="0.3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</row>
    <row r="239" spans="1:5" x14ac:dyDescent="0.3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</row>
    <row r="240" spans="1:5" x14ac:dyDescent="0.3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</row>
    <row r="241" spans="1:5" x14ac:dyDescent="0.3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</row>
    <row r="242" spans="1:5" x14ac:dyDescent="0.3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</row>
    <row r="243" spans="1:5" x14ac:dyDescent="0.3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</row>
    <row r="244" spans="1:5" x14ac:dyDescent="0.3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</row>
    <row r="245" spans="1:5" x14ac:dyDescent="0.3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</row>
    <row r="246" spans="1:5" x14ac:dyDescent="0.3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</row>
    <row r="247" spans="1:5" x14ac:dyDescent="0.3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</row>
    <row r="248" spans="1:5" x14ac:dyDescent="0.3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</row>
    <row r="249" spans="1:5" x14ac:dyDescent="0.3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</row>
    <row r="250" spans="1:5" x14ac:dyDescent="0.3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</row>
    <row r="251" spans="1:5" x14ac:dyDescent="0.3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</row>
    <row r="252" spans="1:5" x14ac:dyDescent="0.3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</row>
    <row r="253" spans="1:5" x14ac:dyDescent="0.3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</row>
    <row r="254" spans="1:5" x14ac:dyDescent="0.3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</row>
    <row r="255" spans="1:5" x14ac:dyDescent="0.3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</row>
    <row r="256" spans="1:5" x14ac:dyDescent="0.3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</row>
    <row r="257" spans="1:5" x14ac:dyDescent="0.3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</row>
    <row r="258" spans="1:5" x14ac:dyDescent="0.3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</row>
    <row r="259" spans="1:5" x14ac:dyDescent="0.3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</row>
    <row r="260" spans="1:5" x14ac:dyDescent="0.3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</row>
    <row r="261" spans="1:5" x14ac:dyDescent="0.3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</row>
    <row r="262" spans="1:5" x14ac:dyDescent="0.3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</row>
    <row r="263" spans="1:5" x14ac:dyDescent="0.3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</row>
    <row r="264" spans="1:5" x14ac:dyDescent="0.3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</row>
    <row r="265" spans="1:5" x14ac:dyDescent="0.3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</row>
    <row r="266" spans="1:5" x14ac:dyDescent="0.3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</row>
    <row r="267" spans="1:5" x14ac:dyDescent="0.3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</row>
    <row r="268" spans="1:5" x14ac:dyDescent="0.3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</row>
    <row r="269" spans="1:5" x14ac:dyDescent="0.3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</row>
    <row r="270" spans="1:5" x14ac:dyDescent="0.3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</row>
    <row r="271" spans="1:5" x14ac:dyDescent="0.3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</row>
    <row r="272" spans="1:5" x14ac:dyDescent="0.3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</row>
    <row r="273" spans="1:5" x14ac:dyDescent="0.3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</row>
    <row r="274" spans="1:5" x14ac:dyDescent="0.3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</row>
    <row r="275" spans="1:5" x14ac:dyDescent="0.3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</row>
    <row r="276" spans="1:5" x14ac:dyDescent="0.3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</row>
    <row r="277" spans="1:5" x14ac:dyDescent="0.3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</row>
    <row r="278" spans="1:5" x14ac:dyDescent="0.3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</row>
    <row r="279" spans="1:5" x14ac:dyDescent="0.3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</row>
    <row r="280" spans="1:5" x14ac:dyDescent="0.3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</row>
    <row r="281" spans="1:5" x14ac:dyDescent="0.3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</row>
    <row r="282" spans="1:5" x14ac:dyDescent="0.3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</row>
    <row r="283" spans="1:5" x14ac:dyDescent="0.3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</row>
    <row r="284" spans="1:5" x14ac:dyDescent="0.3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</row>
    <row r="285" spans="1:5" x14ac:dyDescent="0.3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</row>
    <row r="286" spans="1:5" x14ac:dyDescent="0.3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</row>
    <row r="287" spans="1:5" x14ac:dyDescent="0.3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</row>
    <row r="288" spans="1:5" x14ac:dyDescent="0.3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</row>
    <row r="289" spans="1:5" x14ac:dyDescent="0.3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</row>
    <row r="290" spans="1:5" x14ac:dyDescent="0.3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</row>
    <row r="291" spans="1:5" x14ac:dyDescent="0.3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</row>
    <row r="292" spans="1:5" x14ac:dyDescent="0.3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</row>
    <row r="293" spans="1:5" x14ac:dyDescent="0.3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</row>
    <row r="294" spans="1:5" x14ac:dyDescent="0.3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5" x14ac:dyDescent="0.3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5" x14ac:dyDescent="0.3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5" x14ac:dyDescent="0.3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5" x14ac:dyDescent="0.3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5" x14ac:dyDescent="0.3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5" x14ac:dyDescent="0.3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5" x14ac:dyDescent="0.3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5" x14ac:dyDescent="0.3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5" x14ac:dyDescent="0.3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5" x14ac:dyDescent="0.3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3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3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3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3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3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3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3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3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3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3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3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3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3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3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3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3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3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3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3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3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3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3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3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3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3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3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3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3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3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3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3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3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3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3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3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3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3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3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3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3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3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3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3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3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3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3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3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3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3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3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3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3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3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3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3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3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3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3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3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3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3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3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3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3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8" x14ac:dyDescent="0.3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8" x14ac:dyDescent="0.3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8" x14ac:dyDescent="0.3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8" x14ac:dyDescent="0.3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8" x14ac:dyDescent="0.3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8" x14ac:dyDescent="0.3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8" x14ac:dyDescent="0.3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8" x14ac:dyDescent="0.3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8" x14ac:dyDescent="0.3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8" x14ac:dyDescent="0.3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8" x14ac:dyDescent="0.3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8" x14ac:dyDescent="0.3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>
        <f>SUMIF(B:B, VLOOKUP(77010000055, 'База данных'!A:B, 2, 0),E:E)</f>
        <v>2705</v>
      </c>
    </row>
    <row r="381" spans="1:8" x14ac:dyDescent="0.3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8" x14ac:dyDescent="0.3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8" x14ac:dyDescent="0.3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8" x14ac:dyDescent="0.3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8" x14ac:dyDescent="0.3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8" x14ac:dyDescent="0.3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8" x14ac:dyDescent="0.3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8" x14ac:dyDescent="0.3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</row>
    <row r="389" spans="1:8" x14ac:dyDescent="0.3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8" x14ac:dyDescent="0.3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8" x14ac:dyDescent="0.3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8" x14ac:dyDescent="0.3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8" x14ac:dyDescent="0.3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8" x14ac:dyDescent="0.3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8" x14ac:dyDescent="0.3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8" x14ac:dyDescent="0.3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8" x14ac:dyDescent="0.3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8" x14ac:dyDescent="0.3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8" x14ac:dyDescent="0.3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8" x14ac:dyDescent="0.3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3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3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3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3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3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3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3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3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3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3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3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3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3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3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3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3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3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3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3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3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3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3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3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3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3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3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3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3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3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3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3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3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3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3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3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3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3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3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3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3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3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3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3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3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3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3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3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3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3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3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3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3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3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3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3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3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3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3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3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3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3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3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3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3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3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3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3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3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3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3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3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3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3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3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3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3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3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3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3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3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3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3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3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3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3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3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3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3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3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3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3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3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3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3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3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3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3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3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3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3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3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3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3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3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3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3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3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3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3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3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3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3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3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3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3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3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3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3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3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3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3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3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3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3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3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3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3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3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3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3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3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3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3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3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3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3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3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3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3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3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3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3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3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3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3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3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3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3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3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3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3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3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3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3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3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3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3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3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3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3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3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3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3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3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3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3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3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3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3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3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3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3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3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3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3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3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3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3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3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3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3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3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3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3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3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3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3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3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3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3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3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3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5" x14ac:dyDescent="0.3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5" x14ac:dyDescent="0.3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5" x14ac:dyDescent="0.3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5" x14ac:dyDescent="0.3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5" x14ac:dyDescent="0.3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5" x14ac:dyDescent="0.3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5" x14ac:dyDescent="0.3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5" x14ac:dyDescent="0.3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5" x14ac:dyDescent="0.3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5" x14ac:dyDescent="0.3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5" x14ac:dyDescent="0.3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5" x14ac:dyDescent="0.3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5" x14ac:dyDescent="0.3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5" x14ac:dyDescent="0.3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</row>
    <row r="607" spans="1:5" x14ac:dyDescent="0.3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5" x14ac:dyDescent="0.3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3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3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3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3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3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3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3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3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3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3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3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3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3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3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3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3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>
      <selection activeCell="A2" sqref="A2"/>
    </sheetView>
  </sheetViews>
  <sheetFormatPr defaultRowHeight="14.4" x14ac:dyDescent="0.3"/>
  <sheetData>
    <row r="1" spans="1:1" x14ac:dyDescent="0.3">
      <c r="A1">
        <f>VLOOKUP(77010000055,'База данных'!A:B,2,FALSE)</f>
        <v>1</v>
      </c>
    </row>
    <row r="2" spans="1:1" x14ac:dyDescent="0.3">
      <c r="A2">
        <f>SUMIF('База данных'!B:B,"1",'База данных'!E:E)</f>
        <v>2705</v>
      </c>
    </row>
    <row r="3" spans="1:1" x14ac:dyDescent="0.3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Student</cp:lastModifiedBy>
  <dcterms:created xsi:type="dcterms:W3CDTF">2010-08-09T12:20:19Z</dcterms:created>
  <dcterms:modified xsi:type="dcterms:W3CDTF">2026-05-01T13:41:00Z</dcterms:modified>
</cp:coreProperties>
</file>