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Приветствую\Downloads\"/>
    </mc:Choice>
  </mc:AlternateContent>
  <xr:revisionPtr revIDLastSave="0" documentId="13_ncr:1_{A71F6B81-78C5-43A1-A0D9-1DC7A1E124F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Сводная таблица" sheetId="6" r:id="rId1"/>
    <sheet name="Лист1" sheetId="1" r:id="rId2"/>
    <sheet name="Лист2" sheetId="2" r:id="rId3"/>
  </sheets>
  <calcPr calcId="191029"/>
  <pivotCaches>
    <pivotCache cacheId="17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3VgOpKj0LI773MeeqSkWfF1GFyRyFpMSmwpz4xgUMs=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2" i="1"/>
  <c r="H3" i="1" a="1"/>
  <c r="H3" i="1" s="1"/>
  <c r="H4" i="1" a="1"/>
  <c r="H4" i="1"/>
  <c r="H5" i="1" a="1"/>
  <c r="H5" i="1" s="1"/>
  <c r="H6" i="1" a="1"/>
  <c r="H6" i="1" s="1"/>
  <c r="H7" i="1" a="1"/>
  <c r="H7" i="1"/>
  <c r="H8" i="1" a="1"/>
  <c r="H8" i="1" s="1"/>
  <c r="H9" i="1" a="1"/>
  <c r="H9" i="1" s="1"/>
  <c r="H10" i="1" a="1"/>
  <c r="H10" i="1"/>
  <c r="H11" i="1" a="1"/>
  <c r="H11" i="1" s="1"/>
  <c r="H12" i="1" a="1"/>
  <c r="H12" i="1" s="1"/>
  <c r="H13" i="1" a="1"/>
  <c r="H13" i="1"/>
  <c r="H14" i="1" a="1"/>
  <c r="H14" i="1" s="1"/>
  <c r="H15" i="1" a="1"/>
  <c r="H15" i="1" s="1"/>
  <c r="H16" i="1" a="1"/>
  <c r="H16" i="1"/>
  <c r="H17" i="1" a="1"/>
  <c r="H17" i="1" s="1"/>
  <c r="H18" i="1" a="1"/>
  <c r="H18" i="1" s="1"/>
  <c r="H19" i="1" a="1"/>
  <c r="H19" i="1"/>
  <c r="H20" i="1" a="1"/>
  <c r="H20" i="1" s="1"/>
  <c r="H21" i="1" a="1"/>
  <c r="H21" i="1" s="1"/>
  <c r="H22" i="1" a="1"/>
  <c r="H22" i="1"/>
  <c r="H23" i="1" a="1"/>
  <c r="H23" i="1" s="1"/>
  <c r="H24" i="1" a="1"/>
  <c r="H24" i="1" s="1"/>
  <c r="H25" i="1" a="1"/>
  <c r="H25" i="1"/>
  <c r="H26" i="1" a="1"/>
  <c r="H26" i="1"/>
  <c r="H27" i="1" a="1"/>
  <c r="H27" i="1" s="1"/>
  <c r="H28" i="1" a="1"/>
  <c r="H28" i="1"/>
  <c r="H29" i="1" a="1"/>
  <c r="H29" i="1" s="1"/>
  <c r="H30" i="1" a="1"/>
  <c r="H30" i="1" s="1"/>
  <c r="H31" i="1" a="1"/>
  <c r="H31" i="1"/>
  <c r="H32" i="1" a="1"/>
  <c r="H32" i="1" s="1"/>
  <c r="H33" i="1" a="1"/>
  <c r="H33" i="1" s="1"/>
  <c r="H34" i="1" a="1"/>
  <c r="H34" i="1"/>
  <c r="H35" i="1" a="1"/>
  <c r="H35" i="1" s="1"/>
  <c r="H36" i="1" a="1"/>
  <c r="H36" i="1" s="1"/>
  <c r="H37" i="1" a="1"/>
  <c r="H37" i="1"/>
  <c r="H38" i="1" a="1"/>
  <c r="H38" i="1" s="1"/>
  <c r="H39" i="1" a="1"/>
  <c r="H39" i="1" s="1"/>
  <c r="H40" i="1" a="1"/>
  <c r="H40" i="1"/>
  <c r="H41" i="1" a="1"/>
  <c r="H41" i="1" s="1"/>
  <c r="H42" i="1" a="1"/>
  <c r="H42" i="1" s="1"/>
  <c r="H43" i="1" a="1"/>
  <c r="H43" i="1"/>
  <c r="H44" i="1" a="1"/>
  <c r="H44" i="1" s="1"/>
  <c r="H45" i="1" a="1"/>
  <c r="H45" i="1" s="1"/>
  <c r="H46" i="1" a="1"/>
  <c r="H46" i="1"/>
  <c r="H47" i="1" a="1"/>
  <c r="H47" i="1" s="1"/>
  <c r="H48" i="1" a="1"/>
  <c r="H48" i="1" s="1"/>
  <c r="H49" i="1" a="1"/>
  <c r="H49" i="1"/>
  <c r="H50" i="1" a="1"/>
  <c r="H50" i="1"/>
  <c r="H51" i="1" a="1"/>
  <c r="H51" i="1" s="1"/>
  <c r="H52" i="1" a="1"/>
  <c r="H52" i="1"/>
  <c r="H53" i="1" a="1"/>
  <c r="H53" i="1" s="1"/>
  <c r="H54" i="1" a="1"/>
  <c r="H54" i="1" s="1"/>
  <c r="H55" i="1" a="1"/>
  <c r="H55" i="1"/>
  <c r="H56" i="1" a="1"/>
  <c r="H56" i="1" s="1"/>
  <c r="H57" i="1" a="1"/>
  <c r="H57" i="1" s="1"/>
  <c r="H58" i="1" a="1"/>
  <c r="H58" i="1"/>
  <c r="H59" i="1" a="1"/>
  <c r="H59" i="1" s="1"/>
  <c r="H60" i="1" a="1"/>
  <c r="H60" i="1" s="1"/>
  <c r="H61" i="1" a="1"/>
  <c r="H61" i="1"/>
  <c r="H62" i="1" a="1"/>
  <c r="H62" i="1" s="1"/>
  <c r="H63" i="1" a="1"/>
  <c r="H63" i="1" s="1"/>
  <c r="H64" i="1" a="1"/>
  <c r="H64" i="1"/>
  <c r="H65" i="1" a="1"/>
  <c r="H65" i="1" s="1"/>
  <c r="H66" i="1" a="1"/>
  <c r="H66" i="1" s="1"/>
  <c r="H67" i="1" a="1"/>
  <c r="H67" i="1"/>
  <c r="H68" i="1" a="1"/>
  <c r="H68" i="1" s="1"/>
  <c r="H69" i="1" a="1"/>
  <c r="H69" i="1" s="1"/>
  <c r="H70" i="1" a="1"/>
  <c r="H70" i="1"/>
  <c r="H71" i="1" a="1"/>
  <c r="H71" i="1" s="1"/>
  <c r="H72" i="1" a="1"/>
  <c r="H72" i="1" s="1"/>
  <c r="H73" i="1" a="1"/>
  <c r="H73" i="1"/>
  <c r="H74" i="1" a="1"/>
  <c r="H74" i="1"/>
  <c r="H75" i="1" a="1"/>
  <c r="H75" i="1" s="1"/>
  <c r="H76" i="1" a="1"/>
  <c r="H76" i="1"/>
  <c r="H77" i="1" a="1"/>
  <c r="H77" i="1" s="1"/>
  <c r="H78" i="1" a="1"/>
  <c r="H78" i="1" s="1"/>
  <c r="H79" i="1" a="1"/>
  <c r="H79" i="1"/>
  <c r="H80" i="1" a="1"/>
  <c r="H80" i="1" s="1"/>
  <c r="H81" i="1" a="1"/>
  <c r="H81" i="1" s="1"/>
  <c r="H82" i="1" a="1"/>
  <c r="H82" i="1"/>
  <c r="H83" i="1" a="1"/>
  <c r="H83" i="1" s="1"/>
  <c r="H84" i="1" a="1"/>
  <c r="H84" i="1" s="1"/>
  <c r="H85" i="1" a="1"/>
  <c r="H85" i="1"/>
  <c r="H86" i="1" a="1"/>
  <c r="H86" i="1" s="1"/>
  <c r="H87" i="1" a="1"/>
  <c r="H87" i="1" s="1"/>
  <c r="H88" i="1" a="1"/>
  <c r="H88" i="1"/>
  <c r="H89" i="1" a="1"/>
  <c r="H89" i="1" s="1"/>
  <c r="H90" i="1" a="1"/>
  <c r="H90" i="1" s="1"/>
  <c r="H91" i="1" a="1"/>
  <c r="H91" i="1"/>
  <c r="H92" i="1" a="1"/>
  <c r="H92" i="1" s="1"/>
  <c r="H93" i="1" a="1"/>
  <c r="H93" i="1" s="1"/>
  <c r="H94" i="1" a="1"/>
  <c r="H94" i="1"/>
  <c r="H95" i="1" a="1"/>
  <c r="H95" i="1" s="1"/>
  <c r="H96" i="1" a="1"/>
  <c r="H96" i="1" s="1"/>
  <c r="H97" i="1" a="1"/>
  <c r="H97" i="1"/>
  <c r="H98" i="1" a="1"/>
  <c r="H98" i="1"/>
  <c r="H99" i="1" a="1"/>
  <c r="H99" i="1" s="1"/>
  <c r="H100" i="1" a="1"/>
  <c r="H100" i="1"/>
  <c r="H101" i="1" a="1"/>
  <c r="H101" i="1" s="1"/>
  <c r="H102" i="1" a="1"/>
  <c r="H102" i="1" s="1"/>
  <c r="H103" i="1" a="1"/>
  <c r="H103" i="1"/>
  <c r="H104" i="1" a="1"/>
  <c r="H104" i="1" s="1"/>
  <c r="H105" i="1" a="1"/>
  <c r="H105" i="1" s="1"/>
  <c r="H106" i="1" a="1"/>
  <c r="H106" i="1"/>
  <c r="H107" i="1" a="1"/>
  <c r="H107" i="1" s="1"/>
  <c r="H108" i="1" a="1"/>
  <c r="H108" i="1" s="1"/>
  <c r="H109" i="1" a="1"/>
  <c r="H109" i="1"/>
  <c r="H110" i="1" a="1"/>
  <c r="H110" i="1" s="1"/>
  <c r="H111" i="1" a="1"/>
  <c r="H111" i="1" s="1"/>
  <c r="H112" i="1" a="1"/>
  <c r="H112" i="1"/>
  <c r="H113" i="1" a="1"/>
  <c r="H113" i="1" s="1"/>
  <c r="H114" i="1" a="1"/>
  <c r="H114" i="1" s="1"/>
  <c r="H115" i="1" a="1"/>
  <c r="H115" i="1"/>
  <c r="H116" i="1" a="1"/>
  <c r="H116" i="1" s="1"/>
  <c r="H117" i="1" a="1"/>
  <c r="H117" i="1" s="1"/>
  <c r="H118" i="1" a="1"/>
  <c r="H118" i="1"/>
  <c r="H119" i="1" a="1"/>
  <c r="H119" i="1" s="1"/>
  <c r="H120" i="1" a="1"/>
  <c r="H120" i="1" s="1"/>
  <c r="H121" i="1" a="1"/>
  <c r="H121" i="1"/>
  <c r="H122" i="1" a="1"/>
  <c r="H122" i="1"/>
  <c r="H123" i="1" a="1"/>
  <c r="H123" i="1" s="1"/>
  <c r="H124" i="1" a="1"/>
  <c r="H124" i="1"/>
  <c r="H125" i="1" a="1"/>
  <c r="H125" i="1" s="1"/>
  <c r="H126" i="1" a="1"/>
  <c r="H126" i="1" s="1"/>
  <c r="H127" i="1" a="1"/>
  <c r="H127" i="1"/>
  <c r="H128" i="1" a="1"/>
  <c r="H128" i="1" s="1"/>
  <c r="H129" i="1" a="1"/>
  <c r="H129" i="1" s="1"/>
  <c r="H130" i="1" a="1"/>
  <c r="H130" i="1"/>
  <c r="H131" i="1" a="1"/>
  <c r="H131" i="1" s="1"/>
  <c r="H132" i="1" a="1"/>
  <c r="H132" i="1" s="1"/>
  <c r="H133" i="1" a="1"/>
  <c r="H133" i="1"/>
  <c r="H134" i="1" a="1"/>
  <c r="H134" i="1" s="1"/>
  <c r="H135" i="1" a="1"/>
  <c r="H135" i="1" s="1"/>
  <c r="H136" i="1" a="1"/>
  <c r="H136" i="1"/>
  <c r="H137" i="1" a="1"/>
  <c r="H137" i="1" s="1"/>
  <c r="H138" i="1" a="1"/>
  <c r="H138" i="1" s="1"/>
  <c r="H139" i="1" a="1"/>
  <c r="H139" i="1"/>
  <c r="H140" i="1" a="1"/>
  <c r="H140" i="1" s="1"/>
  <c r="H141" i="1" a="1"/>
  <c r="H141" i="1" s="1"/>
  <c r="H142" i="1" a="1"/>
  <c r="H142" i="1"/>
  <c r="H143" i="1" a="1"/>
  <c r="H143" i="1" s="1"/>
  <c r="H144" i="1" a="1"/>
  <c r="H144" i="1" s="1"/>
  <c r="H145" i="1" a="1"/>
  <c r="H145" i="1"/>
  <c r="H146" i="1" a="1"/>
  <c r="H146" i="1"/>
  <c r="H147" i="1" a="1"/>
  <c r="H147" i="1" s="1"/>
  <c r="H148" i="1" a="1"/>
  <c r="H148" i="1"/>
  <c r="H149" i="1" a="1"/>
  <c r="H149" i="1" s="1"/>
  <c r="H150" i="1" a="1"/>
  <c r="H150" i="1" s="1"/>
  <c r="H151" i="1" a="1"/>
  <c r="H151" i="1"/>
  <c r="H152" i="1" a="1"/>
  <c r="H152" i="1" s="1"/>
  <c r="H153" i="1" a="1"/>
  <c r="H153" i="1" s="1"/>
  <c r="H154" i="1" a="1"/>
  <c r="H154" i="1"/>
  <c r="H155" i="1" a="1"/>
  <c r="H155" i="1" s="1"/>
  <c r="H156" i="1" a="1"/>
  <c r="H156" i="1" s="1"/>
  <c r="H157" i="1" a="1"/>
  <c r="H157" i="1"/>
  <c r="H158" i="1" a="1"/>
  <c r="H158" i="1" s="1"/>
  <c r="H159" i="1" a="1"/>
  <c r="H159" i="1" s="1"/>
  <c r="H160" i="1" a="1"/>
  <c r="H160" i="1"/>
  <c r="H161" i="1" a="1"/>
  <c r="H161" i="1" s="1"/>
  <c r="H162" i="1" a="1"/>
  <c r="H162" i="1" s="1"/>
  <c r="H163" i="1" a="1"/>
  <c r="H163" i="1"/>
  <c r="H164" i="1" a="1"/>
  <c r="H164" i="1" s="1"/>
  <c r="H165" i="1" a="1"/>
  <c r="H165" i="1" s="1"/>
  <c r="H166" i="1" a="1"/>
  <c r="H166" i="1"/>
  <c r="H167" i="1" a="1"/>
  <c r="H167" i="1" s="1"/>
  <c r="H168" i="1" a="1"/>
  <c r="H168" i="1" s="1"/>
  <c r="H169" i="1" a="1"/>
  <c r="H169" i="1"/>
  <c r="H170" i="1" a="1"/>
  <c r="H170" i="1"/>
  <c r="H171" i="1" a="1"/>
  <c r="H171" i="1" s="1"/>
  <c r="H172" i="1" a="1"/>
  <c r="H172" i="1"/>
  <c r="H173" i="1" a="1"/>
  <c r="H173" i="1" s="1"/>
  <c r="H174" i="1" a="1"/>
  <c r="H174" i="1" s="1"/>
  <c r="H175" i="1" a="1"/>
  <c r="H175" i="1"/>
  <c r="H176" i="1" a="1"/>
  <c r="H176" i="1" s="1"/>
  <c r="H177" i="1" a="1"/>
  <c r="H177" i="1" s="1"/>
  <c r="H178" i="1" a="1"/>
  <c r="H178" i="1"/>
  <c r="H179" i="1" a="1"/>
  <c r="H179" i="1" s="1"/>
  <c r="H180" i="1" a="1"/>
  <c r="H180" i="1" s="1"/>
  <c r="H181" i="1" a="1"/>
  <c r="H181" i="1"/>
  <c r="H182" i="1" a="1"/>
  <c r="H182" i="1" s="1"/>
  <c r="H183" i="1" a="1"/>
  <c r="H183" i="1" s="1"/>
  <c r="H184" i="1" a="1"/>
  <c r="H184" i="1"/>
  <c r="H185" i="1" a="1"/>
  <c r="H185" i="1" s="1"/>
  <c r="H186" i="1" a="1"/>
  <c r="H186" i="1" s="1"/>
  <c r="H187" i="1" a="1"/>
  <c r="H187" i="1"/>
  <c r="H188" i="1" a="1"/>
  <c r="H188" i="1" s="1"/>
  <c r="H189" i="1" a="1"/>
  <c r="H189" i="1" s="1"/>
  <c r="H190" i="1" a="1"/>
  <c r="H190" i="1"/>
  <c r="H191" i="1" a="1"/>
  <c r="H191" i="1" s="1"/>
  <c r="H192" i="1" a="1"/>
  <c r="H192" i="1" s="1"/>
  <c r="H193" i="1" a="1"/>
  <c r="H193" i="1"/>
  <c r="H194" i="1" a="1"/>
  <c r="H194" i="1"/>
  <c r="H195" i="1" a="1"/>
  <c r="H195" i="1" s="1"/>
  <c r="H196" i="1" a="1"/>
  <c r="H196" i="1"/>
  <c r="H197" i="1" a="1"/>
  <c r="H197" i="1" s="1"/>
  <c r="H198" i="1" a="1"/>
  <c r="H198" i="1" s="1"/>
  <c r="H199" i="1" a="1"/>
  <c r="H199" i="1"/>
  <c r="H200" i="1" a="1"/>
  <c r="H200" i="1" s="1"/>
  <c r="H201" i="1" a="1"/>
  <c r="H201" i="1" s="1"/>
  <c r="H202" i="1" a="1"/>
  <c r="H202" i="1"/>
  <c r="H203" i="1" a="1"/>
  <c r="H203" i="1" s="1"/>
  <c r="H204" i="1" a="1"/>
  <c r="H204" i="1" s="1"/>
  <c r="H205" i="1" a="1"/>
  <c r="H205" i="1"/>
  <c r="H206" i="1" a="1"/>
  <c r="H206" i="1" s="1"/>
  <c r="H207" i="1" a="1"/>
  <c r="H207" i="1" s="1"/>
  <c r="H208" i="1" a="1"/>
  <c r="H208" i="1"/>
  <c r="H209" i="1" a="1"/>
  <c r="H209" i="1" s="1"/>
  <c r="H210" i="1" a="1"/>
  <c r="H210" i="1" s="1"/>
  <c r="H211" i="1" a="1"/>
  <c r="H211" i="1"/>
  <c r="H212" i="1" a="1"/>
  <c r="H212" i="1" s="1"/>
  <c r="H213" i="1" a="1"/>
  <c r="H213" i="1" s="1"/>
  <c r="H214" i="1" a="1"/>
  <c r="H214" i="1"/>
  <c r="H215" i="1" a="1"/>
  <c r="H215" i="1" s="1"/>
  <c r="H216" i="1" a="1"/>
  <c r="H216" i="1" s="1"/>
  <c r="H217" i="1" a="1"/>
  <c r="H217" i="1"/>
  <c r="H218" i="1" a="1"/>
  <c r="H218" i="1"/>
  <c r="H219" i="1" a="1"/>
  <c r="H219" i="1" s="1"/>
  <c r="H220" i="1" a="1"/>
  <c r="H220" i="1"/>
  <c r="H221" i="1" a="1"/>
  <c r="H221" i="1" s="1"/>
  <c r="H222" i="1" a="1"/>
  <c r="H222" i="1" s="1"/>
  <c r="H223" i="1" a="1"/>
  <c r="H223" i="1"/>
  <c r="H224" i="1" a="1"/>
  <c r="H224" i="1" s="1"/>
  <c r="H225" i="1" a="1"/>
  <c r="H225" i="1" s="1"/>
  <c r="H226" i="1" a="1"/>
  <c r="H226" i="1"/>
  <c r="H227" i="1" a="1"/>
  <c r="H227" i="1" s="1"/>
  <c r="H228" i="1" a="1"/>
  <c r="H228" i="1" s="1"/>
  <c r="H229" i="1" a="1"/>
  <c r="H229" i="1"/>
  <c r="H230" i="1" a="1"/>
  <c r="H230" i="1" s="1"/>
  <c r="H231" i="1" a="1"/>
  <c r="H231" i="1" s="1"/>
  <c r="H232" i="1" a="1"/>
  <c r="H232" i="1"/>
  <c r="H233" i="1" a="1"/>
  <c r="H233" i="1" s="1"/>
  <c r="H234" i="1" a="1"/>
  <c r="H234" i="1" s="1"/>
  <c r="H235" i="1" a="1"/>
  <c r="H235" i="1"/>
  <c r="H236" i="1" a="1"/>
  <c r="H236" i="1" s="1"/>
  <c r="H237" i="1" a="1"/>
  <c r="H237" i="1" s="1"/>
  <c r="H238" i="1" a="1"/>
  <c r="H238" i="1"/>
  <c r="H239" i="1" a="1"/>
  <c r="H239" i="1" s="1"/>
  <c r="H240" i="1" a="1"/>
  <c r="H240" i="1" s="1"/>
  <c r="H241" i="1" a="1"/>
  <c r="H241" i="1"/>
  <c r="H242" i="1" a="1"/>
  <c r="H242" i="1"/>
  <c r="H243" i="1" a="1"/>
  <c r="H243" i="1" s="1"/>
  <c r="H244" i="1" a="1"/>
  <c r="H244" i="1"/>
  <c r="H245" i="1" a="1"/>
  <c r="H245" i="1" s="1"/>
  <c r="H246" i="1" a="1"/>
  <c r="H246" i="1" s="1"/>
  <c r="H247" i="1" a="1"/>
  <c r="H247" i="1"/>
  <c r="H248" i="1" a="1"/>
  <c r="H248" i="1" s="1"/>
  <c r="H249" i="1" a="1"/>
  <c r="H249" i="1" s="1"/>
  <c r="H250" i="1" a="1"/>
  <c r="H250" i="1"/>
  <c r="H251" i="1" a="1"/>
  <c r="H251" i="1" s="1"/>
  <c r="H252" i="1" a="1"/>
  <c r="H252" i="1" s="1"/>
  <c r="H253" i="1" a="1"/>
  <c r="H253" i="1"/>
  <c r="H254" i="1" a="1"/>
  <c r="H254" i="1" s="1"/>
  <c r="H255" i="1" a="1"/>
  <c r="H255" i="1" s="1"/>
  <c r="H256" i="1" a="1"/>
  <c r="H256" i="1"/>
  <c r="H257" i="1" a="1"/>
  <c r="H257" i="1" s="1"/>
  <c r="H258" i="1" a="1"/>
  <c r="H258" i="1" s="1"/>
  <c r="H259" i="1" a="1"/>
  <c r="H259" i="1"/>
  <c r="H260" i="1" a="1"/>
  <c r="H260" i="1" s="1"/>
  <c r="H261" i="1" a="1"/>
  <c r="H261" i="1" s="1"/>
  <c r="H262" i="1" a="1"/>
  <c r="H262" i="1"/>
  <c r="H263" i="1" a="1"/>
  <c r="H263" i="1" s="1"/>
  <c r="H264" i="1" a="1"/>
  <c r="H264" i="1" s="1"/>
  <c r="H265" i="1" a="1"/>
  <c r="H265" i="1"/>
  <c r="H266" i="1" a="1"/>
  <c r="H266" i="1"/>
  <c r="H267" i="1" a="1"/>
  <c r="H267" i="1" s="1"/>
  <c r="H268" i="1" a="1"/>
  <c r="H268" i="1"/>
  <c r="H269" i="1" a="1"/>
  <c r="H269" i="1" s="1"/>
  <c r="H270" i="1" a="1"/>
  <c r="H270" i="1" s="1"/>
  <c r="H271" i="1" a="1"/>
  <c r="H271" i="1"/>
  <c r="H272" i="1" a="1"/>
  <c r="H272" i="1" s="1"/>
  <c r="H273" i="1" a="1"/>
  <c r="H273" i="1" s="1"/>
  <c r="H274" i="1" a="1"/>
  <c r="H274" i="1"/>
  <c r="H275" i="1" a="1"/>
  <c r="H275" i="1" s="1"/>
  <c r="H276" i="1" a="1"/>
  <c r="H276" i="1" s="1"/>
  <c r="H277" i="1" a="1"/>
  <c r="H277" i="1"/>
  <c r="H278" i="1" a="1"/>
  <c r="H278" i="1" s="1"/>
  <c r="H279" i="1" a="1"/>
  <c r="H279" i="1" s="1"/>
  <c r="H280" i="1" a="1"/>
  <c r="H280" i="1"/>
  <c r="H281" i="1" a="1"/>
  <c r="H281" i="1" s="1"/>
  <c r="H282" i="1" a="1"/>
  <c r="H282" i="1" s="1"/>
  <c r="H283" i="1" a="1"/>
  <c r="H283" i="1"/>
  <c r="H284" i="1" a="1"/>
  <c r="H284" i="1" s="1"/>
  <c r="H285" i="1" a="1"/>
  <c r="H285" i="1" s="1"/>
  <c r="H286" i="1" a="1"/>
  <c r="H286" i="1"/>
  <c r="H287" i="1" a="1"/>
  <c r="H287" i="1" s="1"/>
  <c r="H288" i="1" a="1"/>
  <c r="H288" i="1" s="1"/>
  <c r="H289" i="1" a="1"/>
  <c r="H289" i="1"/>
  <c r="H290" i="1" a="1"/>
  <c r="H290" i="1" s="1"/>
  <c r="H291" i="1" a="1"/>
  <c r="H291" i="1" s="1"/>
  <c r="H292" i="1" a="1"/>
  <c r="H292" i="1"/>
  <c r="H293" i="1" a="1"/>
  <c r="H293" i="1" s="1"/>
  <c r="H294" i="1" a="1"/>
  <c r="H294" i="1" s="1"/>
  <c r="H295" i="1" a="1"/>
  <c r="H295" i="1"/>
  <c r="H296" i="1" a="1"/>
  <c r="H296" i="1" s="1"/>
  <c r="H297" i="1" a="1"/>
  <c r="H297" i="1" s="1"/>
  <c r="H298" i="1" a="1"/>
  <c r="H298" i="1"/>
  <c r="H299" i="1" a="1"/>
  <c r="H299" i="1" s="1"/>
  <c r="H300" i="1" a="1"/>
  <c r="H300" i="1" s="1"/>
  <c r="H301" i="1" a="1"/>
  <c r="H301" i="1"/>
  <c r="H302" i="1" a="1"/>
  <c r="H302" i="1" s="1"/>
  <c r="H303" i="1" a="1"/>
  <c r="H303" i="1" s="1"/>
  <c r="H304" i="1" a="1"/>
  <c r="H304" i="1"/>
  <c r="H305" i="1" a="1"/>
  <c r="H305" i="1" s="1"/>
  <c r="H306" i="1" a="1"/>
  <c r="H306" i="1" s="1"/>
  <c r="H307" i="1" a="1"/>
  <c r="H307" i="1"/>
  <c r="H308" i="1" a="1"/>
  <c r="H308" i="1" s="1"/>
  <c r="H309" i="1" a="1"/>
  <c r="H309" i="1" s="1"/>
  <c r="H310" i="1" a="1"/>
  <c r="H310" i="1"/>
  <c r="H311" i="1" a="1"/>
  <c r="H311" i="1" s="1"/>
  <c r="H312" i="1" a="1"/>
  <c r="H312" i="1" s="1"/>
  <c r="H313" i="1" a="1"/>
  <c r="H313" i="1"/>
  <c r="H314" i="1" a="1"/>
  <c r="H314" i="1"/>
  <c r="H315" i="1" a="1"/>
  <c r="H315" i="1" s="1"/>
  <c r="H316" i="1" a="1"/>
  <c r="H316" i="1"/>
  <c r="H317" i="1" a="1"/>
  <c r="H317" i="1" s="1"/>
  <c r="H318" i="1" a="1"/>
  <c r="H318" i="1" s="1"/>
  <c r="H319" i="1" a="1"/>
  <c r="H319" i="1"/>
  <c r="H320" i="1" a="1"/>
  <c r="H320" i="1" s="1"/>
  <c r="H321" i="1" a="1"/>
  <c r="H321" i="1" s="1"/>
  <c r="H322" i="1" a="1"/>
  <c r="H322" i="1"/>
  <c r="H323" i="1" a="1"/>
  <c r="H323" i="1" s="1"/>
  <c r="H324" i="1" a="1"/>
  <c r="H324" i="1" s="1"/>
  <c r="H325" i="1" a="1"/>
  <c r="H325" i="1"/>
  <c r="H326" i="1" a="1"/>
  <c r="H326" i="1" s="1"/>
  <c r="H327" i="1" a="1"/>
  <c r="H327" i="1" s="1"/>
  <c r="H328" i="1" a="1"/>
  <c r="H328" i="1"/>
  <c r="H329" i="1" a="1"/>
  <c r="H329" i="1" s="1"/>
  <c r="H330" i="1" a="1"/>
  <c r="H330" i="1" s="1"/>
  <c r="H331" i="1" a="1"/>
  <c r="H331" i="1"/>
  <c r="H332" i="1" a="1"/>
  <c r="H332" i="1" s="1"/>
  <c r="H333" i="1" a="1"/>
  <c r="H333" i="1" s="1"/>
  <c r="H334" i="1" a="1"/>
  <c r="H334" i="1"/>
  <c r="H335" i="1" a="1"/>
  <c r="H335" i="1" s="1"/>
  <c r="H336" i="1" a="1"/>
  <c r="H336" i="1" s="1"/>
  <c r="H337" i="1" a="1"/>
  <c r="H337" i="1"/>
  <c r="H338" i="1" a="1"/>
  <c r="H338" i="1"/>
  <c r="H339" i="1" a="1"/>
  <c r="H339" i="1" s="1"/>
  <c r="H340" i="1" a="1"/>
  <c r="H340" i="1"/>
  <c r="H341" i="1" a="1"/>
  <c r="H341" i="1" s="1"/>
  <c r="H342" i="1" a="1"/>
  <c r="H342" i="1" s="1"/>
  <c r="H343" i="1" a="1"/>
  <c r="H343" i="1"/>
  <c r="H344" i="1" a="1"/>
  <c r="H344" i="1" s="1"/>
  <c r="H345" i="1" a="1"/>
  <c r="H345" i="1" s="1"/>
  <c r="H346" i="1" a="1"/>
  <c r="H346" i="1"/>
  <c r="H347" i="1" a="1"/>
  <c r="H347" i="1" s="1"/>
  <c r="H348" i="1" a="1"/>
  <c r="H348" i="1" s="1"/>
  <c r="H349" i="1" a="1"/>
  <c r="H349" i="1"/>
  <c r="H350" i="1" a="1"/>
  <c r="H350" i="1" s="1"/>
  <c r="H351" i="1" a="1"/>
  <c r="H351" i="1" s="1"/>
  <c r="H352" i="1" a="1"/>
  <c r="H352" i="1"/>
  <c r="H353" i="1" a="1"/>
  <c r="H353" i="1" s="1"/>
  <c r="H354" i="1" a="1"/>
  <c r="H354" i="1" s="1"/>
  <c r="H355" i="1" a="1"/>
  <c r="H355" i="1"/>
  <c r="H356" i="1" a="1"/>
  <c r="H356" i="1" s="1"/>
  <c r="H357" i="1" a="1"/>
  <c r="H357" i="1" s="1"/>
  <c r="H358" i="1" a="1"/>
  <c r="H358" i="1"/>
  <c r="H359" i="1" a="1"/>
  <c r="H359" i="1" s="1"/>
  <c r="H360" i="1" a="1"/>
  <c r="H360" i="1" s="1"/>
  <c r="H361" i="1" a="1"/>
  <c r="H361" i="1"/>
  <c r="H362" i="1" a="1"/>
  <c r="H362" i="1"/>
  <c r="H363" i="1" a="1"/>
  <c r="H363" i="1" s="1"/>
  <c r="H364" i="1" a="1"/>
  <c r="H364" i="1"/>
  <c r="H365" i="1" a="1"/>
  <c r="H365" i="1" s="1"/>
  <c r="H366" i="1" a="1"/>
  <c r="H366" i="1" s="1"/>
  <c r="H367" i="1" a="1"/>
  <c r="H367" i="1"/>
  <c r="H368" i="1" a="1"/>
  <c r="H368" i="1" s="1"/>
  <c r="H369" i="1" a="1"/>
  <c r="H369" i="1" s="1"/>
  <c r="H370" i="1" a="1"/>
  <c r="H370" i="1"/>
  <c r="H371" i="1" a="1"/>
  <c r="H371" i="1" s="1"/>
  <c r="H372" i="1" a="1"/>
  <c r="H372" i="1" s="1"/>
  <c r="H373" i="1" a="1"/>
  <c r="H373" i="1"/>
  <c r="H374" i="1" a="1"/>
  <c r="H374" i="1" s="1"/>
  <c r="H375" i="1" a="1"/>
  <c r="H375" i="1" s="1"/>
  <c r="H376" i="1" a="1"/>
  <c r="H376" i="1"/>
  <c r="H377" i="1" a="1"/>
  <c r="H377" i="1" s="1"/>
  <c r="H378" i="1" a="1"/>
  <c r="H378" i="1" s="1"/>
  <c r="H379" i="1" a="1"/>
  <c r="H379" i="1"/>
  <c r="H380" i="1" a="1"/>
  <c r="H380" i="1" s="1"/>
  <c r="H381" i="1" a="1"/>
  <c r="H381" i="1" s="1"/>
  <c r="H382" i="1" a="1"/>
  <c r="H382" i="1"/>
  <c r="H383" i="1" a="1"/>
  <c r="H383" i="1" s="1"/>
  <c r="H384" i="1" a="1"/>
  <c r="H384" i="1" s="1"/>
  <c r="H385" i="1" a="1"/>
  <c r="H385" i="1"/>
  <c r="H386" i="1" a="1"/>
  <c r="H386" i="1" s="1"/>
  <c r="H387" i="1" a="1"/>
  <c r="H387" i="1" s="1"/>
  <c r="H388" i="1" a="1"/>
  <c r="H388" i="1"/>
  <c r="H389" i="1" a="1"/>
  <c r="H389" i="1" s="1"/>
  <c r="H390" i="1" a="1"/>
  <c r="H390" i="1" s="1"/>
  <c r="H391" i="1" a="1"/>
  <c r="H391" i="1"/>
  <c r="H392" i="1" a="1"/>
  <c r="H392" i="1" s="1"/>
  <c r="H393" i="1" a="1"/>
  <c r="H393" i="1" s="1"/>
  <c r="H394" i="1" a="1"/>
  <c r="H394" i="1"/>
  <c r="H395" i="1" a="1"/>
  <c r="H395" i="1" s="1"/>
  <c r="H396" i="1" a="1"/>
  <c r="H396" i="1" s="1"/>
  <c r="H397" i="1" a="1"/>
  <c r="H397" i="1"/>
  <c r="H398" i="1" a="1"/>
  <c r="H398" i="1" s="1"/>
  <c r="H399" i="1" a="1"/>
  <c r="H399" i="1" s="1"/>
  <c r="H400" i="1" a="1"/>
  <c r="H400" i="1"/>
  <c r="H401" i="1" a="1"/>
  <c r="H401" i="1" s="1"/>
  <c r="H402" i="1" a="1"/>
  <c r="H402" i="1" s="1"/>
  <c r="H403" i="1" a="1"/>
  <c r="H403" i="1"/>
  <c r="H404" i="1" a="1"/>
  <c r="H404" i="1" s="1"/>
  <c r="H405" i="1" a="1"/>
  <c r="H405" i="1" s="1"/>
  <c r="H406" i="1" a="1"/>
  <c r="H406" i="1"/>
  <c r="H407" i="1" a="1"/>
  <c r="H407" i="1" s="1"/>
  <c r="H408" i="1" a="1"/>
  <c r="H408" i="1" s="1"/>
  <c r="H409" i="1" a="1"/>
  <c r="H409" i="1"/>
  <c r="H410" i="1" a="1"/>
  <c r="H410" i="1"/>
  <c r="H411" i="1" a="1"/>
  <c r="H411" i="1" s="1"/>
  <c r="H412" i="1" a="1"/>
  <c r="H412" i="1"/>
  <c r="H413" i="1" a="1"/>
  <c r="H413" i="1" s="1"/>
  <c r="H414" i="1" a="1"/>
  <c r="H414" i="1" s="1"/>
  <c r="H415" i="1" a="1"/>
  <c r="H415" i="1"/>
  <c r="H416" i="1" a="1"/>
  <c r="H416" i="1" s="1"/>
  <c r="H417" i="1" a="1"/>
  <c r="H417" i="1" s="1"/>
  <c r="H418" i="1" a="1"/>
  <c r="H418" i="1"/>
  <c r="H419" i="1" a="1"/>
  <c r="H419" i="1" s="1"/>
  <c r="H420" i="1" a="1"/>
  <c r="H420" i="1" s="1"/>
  <c r="H421" i="1" a="1"/>
  <c r="H421" i="1"/>
  <c r="H422" i="1" a="1"/>
  <c r="H422" i="1" s="1"/>
  <c r="H423" i="1" a="1"/>
  <c r="H423" i="1" s="1"/>
  <c r="H424" i="1" a="1"/>
  <c r="H424" i="1"/>
  <c r="H425" i="1" a="1"/>
  <c r="H425" i="1" s="1"/>
  <c r="H426" i="1" a="1"/>
  <c r="H426" i="1" s="1"/>
  <c r="H427" i="1" a="1"/>
  <c r="H427" i="1"/>
  <c r="H428" i="1" a="1"/>
  <c r="H428" i="1" s="1"/>
  <c r="H429" i="1" a="1"/>
  <c r="H429" i="1" s="1"/>
  <c r="H430" i="1" a="1"/>
  <c r="H430" i="1"/>
  <c r="H431" i="1" a="1"/>
  <c r="H431" i="1" s="1"/>
  <c r="H432" i="1" a="1"/>
  <c r="H432" i="1" s="1"/>
  <c r="H433" i="1" a="1"/>
  <c r="H433" i="1"/>
  <c r="H434" i="1" a="1"/>
  <c r="H434" i="1" s="1"/>
  <c r="H435" i="1" a="1"/>
  <c r="H435" i="1" s="1"/>
  <c r="H436" i="1" a="1"/>
  <c r="H436" i="1"/>
  <c r="H437" i="1" a="1"/>
  <c r="H437" i="1" s="1"/>
  <c r="H438" i="1" a="1"/>
  <c r="H438" i="1" s="1"/>
  <c r="H439" i="1" a="1"/>
  <c r="H439" i="1"/>
  <c r="H440" i="1" a="1"/>
  <c r="H440" i="1" s="1"/>
  <c r="H441" i="1" a="1"/>
  <c r="H441" i="1" s="1"/>
  <c r="H442" i="1" a="1"/>
  <c r="H442" i="1"/>
  <c r="H443" i="1" a="1"/>
  <c r="H443" i="1" s="1"/>
  <c r="H444" i="1" a="1"/>
  <c r="H444" i="1" s="1"/>
  <c r="H445" i="1" a="1"/>
  <c r="H445" i="1"/>
  <c r="H446" i="1" a="1"/>
  <c r="H446" i="1" s="1"/>
  <c r="H447" i="1" a="1"/>
  <c r="H447" i="1" s="1"/>
  <c r="H448" i="1" a="1"/>
  <c r="H448" i="1"/>
  <c r="H449" i="1" a="1"/>
  <c r="H449" i="1" s="1"/>
  <c r="H450" i="1" a="1"/>
  <c r="H450" i="1" s="1"/>
  <c r="H451" i="1" a="1"/>
  <c r="H451" i="1"/>
  <c r="H452" i="1" a="1"/>
  <c r="H452" i="1" s="1"/>
  <c r="H453" i="1" a="1"/>
  <c r="H453" i="1" s="1"/>
  <c r="H454" i="1" a="1"/>
  <c r="H454" i="1"/>
  <c r="H455" i="1" a="1"/>
  <c r="H455" i="1" s="1"/>
  <c r="H456" i="1" a="1"/>
  <c r="H456" i="1" s="1"/>
  <c r="H457" i="1" a="1"/>
  <c r="H457" i="1"/>
  <c r="H458" i="1" a="1"/>
  <c r="H458" i="1"/>
  <c r="H459" i="1" a="1"/>
  <c r="H459" i="1" s="1"/>
  <c r="H460" i="1" a="1"/>
  <c r="H460" i="1"/>
  <c r="H461" i="1" a="1"/>
  <c r="H461" i="1" s="1"/>
  <c r="H462" i="1" a="1"/>
  <c r="H462" i="1" s="1"/>
  <c r="H463" i="1" a="1"/>
  <c r="H463" i="1"/>
  <c r="H464" i="1" a="1"/>
  <c r="H464" i="1" s="1"/>
  <c r="H465" i="1" a="1"/>
  <c r="H465" i="1" s="1"/>
  <c r="H466" i="1" a="1"/>
  <c r="H466" i="1"/>
  <c r="H467" i="1" a="1"/>
  <c r="H467" i="1" s="1"/>
  <c r="H468" i="1" a="1"/>
  <c r="H468" i="1" s="1"/>
  <c r="H469" i="1" a="1"/>
  <c r="H469" i="1"/>
  <c r="H470" i="1" a="1"/>
  <c r="H470" i="1" s="1"/>
  <c r="H471" i="1" a="1"/>
  <c r="H471" i="1" s="1"/>
  <c r="H472" i="1" a="1"/>
  <c r="H472" i="1"/>
  <c r="H473" i="1" a="1"/>
  <c r="H473" i="1" s="1"/>
  <c r="H474" i="1" a="1"/>
  <c r="H474" i="1" s="1"/>
  <c r="H475" i="1" a="1"/>
  <c r="H475" i="1"/>
  <c r="H476" i="1" a="1"/>
  <c r="H476" i="1" s="1"/>
  <c r="H477" i="1" a="1"/>
  <c r="H477" i="1" s="1"/>
  <c r="H478" i="1" a="1"/>
  <c r="H478" i="1"/>
  <c r="H479" i="1" a="1"/>
  <c r="H479" i="1" s="1"/>
  <c r="H480" i="1" a="1"/>
  <c r="H480" i="1" s="1"/>
  <c r="H481" i="1" a="1"/>
  <c r="H481" i="1"/>
  <c r="H482" i="1" a="1"/>
  <c r="H482" i="1" s="1"/>
  <c r="H483" i="1" a="1"/>
  <c r="H483" i="1" s="1"/>
  <c r="H484" i="1" a="1"/>
  <c r="H484" i="1"/>
  <c r="H485" i="1" a="1"/>
  <c r="H485" i="1" s="1"/>
  <c r="H486" i="1" a="1"/>
  <c r="H486" i="1" s="1"/>
  <c r="H487" i="1" a="1"/>
  <c r="H487" i="1"/>
  <c r="H488" i="1" a="1"/>
  <c r="H488" i="1" s="1"/>
  <c r="H489" i="1" a="1"/>
  <c r="H489" i="1" s="1"/>
  <c r="H490" i="1" a="1"/>
  <c r="H490" i="1"/>
  <c r="H491" i="1" a="1"/>
  <c r="H491" i="1" s="1"/>
  <c r="H492" i="1" a="1"/>
  <c r="H492" i="1" s="1"/>
  <c r="H493" i="1" a="1"/>
  <c r="H493" i="1"/>
  <c r="H494" i="1" a="1"/>
  <c r="H494" i="1" s="1"/>
  <c r="H495" i="1" a="1"/>
  <c r="H495" i="1" s="1"/>
  <c r="H496" i="1" a="1"/>
  <c r="H496" i="1"/>
  <c r="H497" i="1" a="1"/>
  <c r="H497" i="1" s="1"/>
  <c r="H498" i="1" a="1"/>
  <c r="H498" i="1" s="1"/>
  <c r="H499" i="1" a="1"/>
  <c r="H499" i="1"/>
  <c r="H500" i="1" a="1"/>
  <c r="H500" i="1" s="1"/>
  <c r="H501" i="1" a="1"/>
  <c r="H501" i="1" s="1"/>
  <c r="H502" i="1" a="1"/>
  <c r="H502" i="1" s="1"/>
  <c r="H503" i="1" a="1"/>
  <c r="H503" i="1" s="1"/>
  <c r="H504" i="1" a="1"/>
  <c r="H504" i="1" s="1"/>
  <c r="H505" i="1" a="1"/>
  <c r="H505" i="1" s="1"/>
  <c r="H2" i="1" a="1"/>
  <c r="H2" i="1" s="1"/>
  <c r="G3" i="1" a="1"/>
  <c r="G3" i="1" s="1"/>
  <c r="G4" i="1" a="1"/>
  <c r="G4" i="1"/>
  <c r="G5" i="1" a="1"/>
  <c r="G5" i="1" s="1"/>
  <c r="G6" i="1" a="1"/>
  <c r="G6" i="1"/>
  <c r="G7" i="1" a="1"/>
  <c r="G7" i="1"/>
  <c r="G8" i="1" a="1"/>
  <c r="G8" i="1"/>
  <c r="G9" i="1" a="1"/>
  <c r="G9" i="1" s="1"/>
  <c r="G10" i="1" a="1"/>
  <c r="G10" i="1"/>
  <c r="G11" i="1" a="1"/>
  <c r="G11" i="1" s="1"/>
  <c r="G12" i="1" a="1"/>
  <c r="G12" i="1"/>
  <c r="G13" i="1" a="1"/>
  <c r="G13" i="1"/>
  <c r="G14" i="1" a="1"/>
  <c r="G14" i="1" s="1"/>
  <c r="G15" i="1" a="1"/>
  <c r="G15" i="1" s="1"/>
  <c r="G16" i="1" a="1"/>
  <c r="G16" i="1"/>
  <c r="G17" i="1" a="1"/>
  <c r="G17" i="1" s="1"/>
  <c r="G18" i="1" a="1"/>
  <c r="G18" i="1"/>
  <c r="G19" i="1" a="1"/>
  <c r="G19" i="1"/>
  <c r="G20" i="1" a="1"/>
  <c r="G20" i="1" s="1"/>
  <c r="G21" i="1" a="1"/>
  <c r="G21" i="1" s="1"/>
  <c r="G22" i="1" a="1"/>
  <c r="G22" i="1"/>
  <c r="G23" i="1" a="1"/>
  <c r="G23" i="1" s="1"/>
  <c r="G24" i="1" a="1"/>
  <c r="G24" i="1"/>
  <c r="G25" i="1" a="1"/>
  <c r="G25" i="1"/>
  <c r="G26" i="1" a="1"/>
  <c r="G26" i="1"/>
  <c r="G27" i="1" a="1"/>
  <c r="G27" i="1" s="1"/>
  <c r="G28" i="1" a="1"/>
  <c r="G28" i="1"/>
  <c r="G29" i="1" a="1"/>
  <c r="G29" i="1" s="1"/>
  <c r="G30" i="1" a="1"/>
  <c r="G30" i="1"/>
  <c r="G31" i="1" a="1"/>
  <c r="G31" i="1"/>
  <c r="G32" i="1" a="1"/>
  <c r="G32" i="1" s="1"/>
  <c r="G33" i="1" a="1"/>
  <c r="G33" i="1" s="1"/>
  <c r="G34" i="1" a="1"/>
  <c r="G34" i="1"/>
  <c r="G35" i="1" a="1"/>
  <c r="G35" i="1" s="1"/>
  <c r="G36" i="1" a="1"/>
  <c r="G36" i="1"/>
  <c r="G37" i="1" a="1"/>
  <c r="G37" i="1"/>
  <c r="G38" i="1" a="1"/>
  <c r="G38" i="1"/>
  <c r="G39" i="1" a="1"/>
  <c r="G39" i="1" s="1"/>
  <c r="G40" i="1" a="1"/>
  <c r="G40" i="1"/>
  <c r="G41" i="1" a="1"/>
  <c r="G41" i="1" s="1"/>
  <c r="G42" i="1" a="1"/>
  <c r="G42" i="1"/>
  <c r="G43" i="1" a="1"/>
  <c r="G43" i="1"/>
  <c r="G44" i="1" a="1"/>
  <c r="G44" i="1"/>
  <c r="G45" i="1" a="1"/>
  <c r="G45" i="1" s="1"/>
  <c r="G46" i="1" a="1"/>
  <c r="G46" i="1"/>
  <c r="G47" i="1" a="1"/>
  <c r="G47" i="1" s="1"/>
  <c r="G48" i="1" a="1"/>
  <c r="G48" i="1"/>
  <c r="G49" i="1" a="1"/>
  <c r="G49" i="1"/>
  <c r="G50" i="1" a="1"/>
  <c r="G50" i="1" s="1"/>
  <c r="G51" i="1" a="1"/>
  <c r="G51" i="1" s="1"/>
  <c r="G52" i="1" a="1"/>
  <c r="G52" i="1"/>
  <c r="G53" i="1" a="1"/>
  <c r="G53" i="1" s="1"/>
  <c r="G54" i="1" a="1"/>
  <c r="G54" i="1"/>
  <c r="G55" i="1" a="1"/>
  <c r="G55" i="1"/>
  <c r="G56" i="1" a="1"/>
  <c r="G56" i="1" s="1"/>
  <c r="G57" i="1" a="1"/>
  <c r="G57" i="1" s="1"/>
  <c r="G58" i="1" a="1"/>
  <c r="G58" i="1"/>
  <c r="G59" i="1" a="1"/>
  <c r="G59" i="1" s="1"/>
  <c r="G60" i="1" a="1"/>
  <c r="G60" i="1"/>
  <c r="G61" i="1" a="1"/>
  <c r="G61" i="1"/>
  <c r="G62" i="1" a="1"/>
  <c r="G62" i="1"/>
  <c r="G63" i="1" a="1"/>
  <c r="G63" i="1" s="1"/>
  <c r="G64" i="1" a="1"/>
  <c r="G64" i="1"/>
  <c r="G65" i="1" a="1"/>
  <c r="G65" i="1" s="1"/>
  <c r="G66" i="1" a="1"/>
  <c r="G66" i="1" s="1"/>
  <c r="G67" i="1" a="1"/>
  <c r="G67" i="1"/>
  <c r="G68" i="1" a="1"/>
  <c r="G68" i="1" s="1"/>
  <c r="G69" i="1" a="1"/>
  <c r="G69" i="1" s="1"/>
  <c r="G70" i="1" a="1"/>
  <c r="G70" i="1"/>
  <c r="G71" i="1" a="1"/>
  <c r="G71" i="1" s="1"/>
  <c r="G72" i="1" a="1"/>
  <c r="G72" i="1" s="1"/>
  <c r="G73" i="1" a="1"/>
  <c r="G73" i="1"/>
  <c r="G74" i="1" a="1"/>
  <c r="G74" i="1"/>
  <c r="G75" i="1" a="1"/>
  <c r="G75" i="1" s="1"/>
  <c r="G76" i="1" a="1"/>
  <c r="G76" i="1"/>
  <c r="G77" i="1" a="1"/>
  <c r="G77" i="1" s="1"/>
  <c r="G78" i="1" a="1"/>
  <c r="G78" i="1" s="1"/>
  <c r="G79" i="1" a="1"/>
  <c r="G79" i="1"/>
  <c r="G80" i="1" a="1"/>
  <c r="G80" i="1"/>
  <c r="G81" i="1" a="1"/>
  <c r="G81" i="1" s="1"/>
  <c r="G82" i="1" a="1"/>
  <c r="G82" i="1"/>
  <c r="G83" i="1" a="1"/>
  <c r="G83" i="1" s="1"/>
  <c r="G84" i="1" a="1"/>
  <c r="G84" i="1" s="1"/>
  <c r="G85" i="1" a="1"/>
  <c r="G85" i="1" s="1"/>
  <c r="G86" i="1" a="1"/>
  <c r="G86" i="1"/>
  <c r="G87" i="1" a="1"/>
  <c r="G87" i="1" s="1"/>
  <c r="G88" i="1" a="1"/>
  <c r="G88" i="1"/>
  <c r="G89" i="1" a="1"/>
  <c r="G89" i="1" s="1"/>
  <c r="G90" i="1" a="1"/>
  <c r="G90" i="1" s="1"/>
  <c r="G91" i="1" a="1"/>
  <c r="G91" i="1"/>
  <c r="G92" i="1" a="1"/>
  <c r="G92" i="1" s="1"/>
  <c r="G93" i="1" a="1"/>
  <c r="G93" i="1" s="1"/>
  <c r="G94" i="1" a="1"/>
  <c r="G94" i="1"/>
  <c r="G95" i="1" a="1"/>
  <c r="G95" i="1" s="1"/>
  <c r="G96" i="1" a="1"/>
  <c r="G96" i="1" s="1"/>
  <c r="G97" i="1" a="1"/>
  <c r="G97" i="1" s="1"/>
  <c r="G98" i="1" a="1"/>
  <c r="G98" i="1"/>
  <c r="G99" i="1" a="1"/>
  <c r="G99" i="1" s="1"/>
  <c r="G100" i="1" a="1"/>
  <c r="G100" i="1"/>
  <c r="G101" i="1" a="1"/>
  <c r="G101" i="1" s="1"/>
  <c r="G102" i="1" a="1"/>
  <c r="G102" i="1" s="1"/>
  <c r="G103" i="1" a="1"/>
  <c r="G103" i="1"/>
  <c r="G104" i="1" a="1"/>
  <c r="G104" i="1"/>
  <c r="G105" i="1" a="1"/>
  <c r="G105" i="1" s="1"/>
  <c r="G106" i="1" a="1"/>
  <c r="G106" i="1"/>
  <c r="G107" i="1" a="1"/>
  <c r="G107" i="1" s="1"/>
  <c r="G108" i="1" a="1"/>
  <c r="G108" i="1" s="1"/>
  <c r="G109" i="1" a="1"/>
  <c r="G109" i="1" s="1"/>
  <c r="G110" i="1" a="1"/>
  <c r="G110" i="1"/>
  <c r="G111" i="1" a="1"/>
  <c r="G111" i="1" s="1"/>
  <c r="G112" i="1" a="1"/>
  <c r="G112" i="1"/>
  <c r="G113" i="1" a="1"/>
  <c r="G113" i="1" s="1"/>
  <c r="G114" i="1" a="1"/>
  <c r="G114" i="1" s="1"/>
  <c r="G115" i="1" a="1"/>
  <c r="G115" i="1"/>
  <c r="G116" i="1" a="1"/>
  <c r="G116" i="1" s="1"/>
  <c r="G117" i="1" a="1"/>
  <c r="G117" i="1" s="1"/>
  <c r="G118" i="1" a="1"/>
  <c r="G118" i="1"/>
  <c r="G119" i="1" a="1"/>
  <c r="G119" i="1" s="1"/>
  <c r="G120" i="1" a="1"/>
  <c r="G120" i="1" s="1"/>
  <c r="G121" i="1" a="1"/>
  <c r="G121" i="1" s="1"/>
  <c r="G122" i="1" a="1"/>
  <c r="G122" i="1"/>
  <c r="G123" i="1" a="1"/>
  <c r="G123" i="1" s="1"/>
  <c r="G124" i="1" a="1"/>
  <c r="G124" i="1"/>
  <c r="G125" i="1" a="1"/>
  <c r="G125" i="1" s="1"/>
  <c r="G126" i="1" a="1"/>
  <c r="G126" i="1" s="1"/>
  <c r="G127" i="1" a="1"/>
  <c r="G127" i="1"/>
  <c r="G128" i="1" a="1"/>
  <c r="G128" i="1"/>
  <c r="G129" i="1" a="1"/>
  <c r="G129" i="1" s="1"/>
  <c r="G130" i="1" a="1"/>
  <c r="G130" i="1"/>
  <c r="G131" i="1" a="1"/>
  <c r="G131" i="1" s="1"/>
  <c r="G132" i="1" a="1"/>
  <c r="G132" i="1" s="1"/>
  <c r="G133" i="1" a="1"/>
  <c r="G133" i="1" s="1"/>
  <c r="G134" i="1" a="1"/>
  <c r="G134" i="1"/>
  <c r="G135" i="1" a="1"/>
  <c r="G135" i="1" s="1"/>
  <c r="G136" i="1" a="1"/>
  <c r="G136" i="1"/>
  <c r="G137" i="1" a="1"/>
  <c r="G137" i="1" s="1"/>
  <c r="G138" i="1" a="1"/>
  <c r="G138" i="1" s="1"/>
  <c r="G139" i="1" a="1"/>
  <c r="G139" i="1"/>
  <c r="G140" i="1" a="1"/>
  <c r="G140" i="1" s="1"/>
  <c r="G141" i="1" a="1"/>
  <c r="G141" i="1" s="1"/>
  <c r="G142" i="1" a="1"/>
  <c r="G142" i="1"/>
  <c r="G143" i="1" a="1"/>
  <c r="G143" i="1" s="1"/>
  <c r="G144" i="1" a="1"/>
  <c r="G144" i="1" s="1"/>
  <c r="G145" i="1" a="1"/>
  <c r="G145" i="1"/>
  <c r="G146" i="1" a="1"/>
  <c r="G146" i="1"/>
  <c r="G147" i="1" a="1"/>
  <c r="G147" i="1" s="1"/>
  <c r="G148" i="1" a="1"/>
  <c r="G148" i="1"/>
  <c r="G149" i="1" a="1"/>
  <c r="G149" i="1" s="1"/>
  <c r="G150" i="1" a="1"/>
  <c r="G150" i="1" s="1"/>
  <c r="G151" i="1" a="1"/>
  <c r="G151" i="1"/>
  <c r="G152" i="1" a="1"/>
  <c r="G152" i="1"/>
  <c r="G153" i="1" a="1"/>
  <c r="G153" i="1" s="1"/>
  <c r="G154" i="1" a="1"/>
  <c r="G154" i="1"/>
  <c r="G155" i="1" a="1"/>
  <c r="G155" i="1" s="1"/>
  <c r="G156" i="1" a="1"/>
  <c r="G156" i="1" s="1"/>
  <c r="G157" i="1" a="1"/>
  <c r="G157" i="1" s="1"/>
  <c r="G158" i="1" a="1"/>
  <c r="G158" i="1"/>
  <c r="G159" i="1" a="1"/>
  <c r="G159" i="1" s="1"/>
  <c r="G160" i="1" a="1"/>
  <c r="G160" i="1"/>
  <c r="G161" i="1" a="1"/>
  <c r="G161" i="1" s="1"/>
  <c r="G162" i="1" a="1"/>
  <c r="G162" i="1" s="1"/>
  <c r="G163" i="1" a="1"/>
  <c r="G163" i="1"/>
  <c r="G164" i="1" a="1"/>
  <c r="G164" i="1" s="1"/>
  <c r="G165" i="1" a="1"/>
  <c r="G165" i="1" s="1"/>
  <c r="G166" i="1" a="1"/>
  <c r="G166" i="1"/>
  <c r="G167" i="1" a="1"/>
  <c r="G167" i="1" s="1"/>
  <c r="G168" i="1" a="1"/>
  <c r="G168" i="1" s="1"/>
  <c r="G169" i="1" a="1"/>
  <c r="G169" i="1"/>
  <c r="G170" i="1" a="1"/>
  <c r="G170" i="1"/>
  <c r="G171" i="1" a="1"/>
  <c r="G171" i="1" s="1"/>
  <c r="G172" i="1" a="1"/>
  <c r="G172" i="1"/>
  <c r="G173" i="1" a="1"/>
  <c r="G173" i="1" s="1"/>
  <c r="G174" i="1" a="1"/>
  <c r="G174" i="1" s="1"/>
  <c r="G175" i="1" a="1"/>
  <c r="G175" i="1"/>
  <c r="G176" i="1" a="1"/>
  <c r="G176" i="1"/>
  <c r="G177" i="1" a="1"/>
  <c r="G177" i="1" s="1"/>
  <c r="G178" i="1" a="1"/>
  <c r="G178" i="1"/>
  <c r="G179" i="1" a="1"/>
  <c r="G179" i="1" s="1"/>
  <c r="G180" i="1" a="1"/>
  <c r="G180" i="1" s="1"/>
  <c r="G181" i="1" a="1"/>
  <c r="G181" i="1" s="1"/>
  <c r="G182" i="1" a="1"/>
  <c r="G182" i="1"/>
  <c r="G183" i="1" a="1"/>
  <c r="G183" i="1" s="1"/>
  <c r="G184" i="1" a="1"/>
  <c r="G184" i="1"/>
  <c r="G185" i="1" a="1"/>
  <c r="G185" i="1" s="1"/>
  <c r="G186" i="1" a="1"/>
  <c r="G186" i="1" s="1"/>
  <c r="G187" i="1" a="1"/>
  <c r="G187" i="1"/>
  <c r="G188" i="1" a="1"/>
  <c r="G188" i="1" s="1"/>
  <c r="G189" i="1" a="1"/>
  <c r="G189" i="1" s="1"/>
  <c r="G190" i="1" a="1"/>
  <c r="G190" i="1"/>
  <c r="G191" i="1" a="1"/>
  <c r="G191" i="1" s="1"/>
  <c r="G192" i="1" a="1"/>
  <c r="G192" i="1" s="1"/>
  <c r="G193" i="1" a="1"/>
  <c r="G193" i="1"/>
  <c r="G194" i="1" a="1"/>
  <c r="G194" i="1"/>
  <c r="G195" i="1" a="1"/>
  <c r="G195" i="1" s="1"/>
  <c r="G196" i="1" a="1"/>
  <c r="G196" i="1"/>
  <c r="G197" i="1" a="1"/>
  <c r="G197" i="1" s="1"/>
  <c r="G198" i="1" a="1"/>
  <c r="G198" i="1" s="1"/>
  <c r="G199" i="1" a="1"/>
  <c r="G199" i="1"/>
  <c r="G200" i="1" a="1"/>
  <c r="G200" i="1"/>
  <c r="G201" i="1" a="1"/>
  <c r="G201" i="1" s="1"/>
  <c r="G202" i="1" a="1"/>
  <c r="G202" i="1"/>
  <c r="G203" i="1" a="1"/>
  <c r="G203" i="1" s="1"/>
  <c r="G204" i="1" a="1"/>
  <c r="G204" i="1" s="1"/>
  <c r="G205" i="1" a="1"/>
  <c r="G205" i="1" s="1"/>
  <c r="G206" i="1" a="1"/>
  <c r="G206" i="1"/>
  <c r="G207" i="1" a="1"/>
  <c r="G207" i="1" s="1"/>
  <c r="G208" i="1" a="1"/>
  <c r="G208" i="1"/>
  <c r="G209" i="1" a="1"/>
  <c r="G209" i="1" s="1"/>
  <c r="G210" i="1" a="1"/>
  <c r="G210" i="1" s="1"/>
  <c r="G211" i="1" a="1"/>
  <c r="G211" i="1"/>
  <c r="G212" i="1" a="1"/>
  <c r="G212" i="1" s="1"/>
  <c r="G213" i="1" a="1"/>
  <c r="G213" i="1" s="1"/>
  <c r="G214" i="1" a="1"/>
  <c r="G214" i="1"/>
  <c r="G215" i="1" a="1"/>
  <c r="G215" i="1" s="1"/>
  <c r="G216" i="1" a="1"/>
  <c r="G216" i="1" s="1"/>
  <c r="G217" i="1" a="1"/>
  <c r="G217" i="1"/>
  <c r="G218" i="1" a="1"/>
  <c r="G218" i="1"/>
  <c r="G219" i="1" a="1"/>
  <c r="G219" i="1" s="1"/>
  <c r="G220" i="1" a="1"/>
  <c r="G220" i="1"/>
  <c r="G221" i="1" a="1"/>
  <c r="G221" i="1" s="1"/>
  <c r="G222" i="1" a="1"/>
  <c r="G222" i="1" s="1"/>
  <c r="G223" i="1" a="1"/>
  <c r="G223" i="1"/>
  <c r="G224" i="1" a="1"/>
  <c r="G224" i="1"/>
  <c r="G225" i="1" a="1"/>
  <c r="G225" i="1" s="1"/>
  <c r="G226" i="1" a="1"/>
  <c r="G226" i="1"/>
  <c r="G227" i="1" a="1"/>
  <c r="G227" i="1" s="1"/>
  <c r="G228" i="1" a="1"/>
  <c r="G228" i="1" s="1"/>
  <c r="G229" i="1" a="1"/>
  <c r="G229" i="1" s="1"/>
  <c r="G230" i="1" a="1"/>
  <c r="G230" i="1"/>
  <c r="G231" i="1" a="1"/>
  <c r="G231" i="1" s="1"/>
  <c r="G232" i="1" a="1"/>
  <c r="G232" i="1"/>
  <c r="G233" i="1" a="1"/>
  <c r="G233" i="1" s="1"/>
  <c r="G234" i="1" a="1"/>
  <c r="G234" i="1" s="1"/>
  <c r="G235" i="1" a="1"/>
  <c r="G235" i="1"/>
  <c r="G236" i="1" a="1"/>
  <c r="G236" i="1" s="1"/>
  <c r="G237" i="1" a="1"/>
  <c r="G237" i="1" s="1"/>
  <c r="G238" i="1" a="1"/>
  <c r="G238" i="1"/>
  <c r="G239" i="1" a="1"/>
  <c r="G239" i="1" s="1"/>
  <c r="G240" i="1" a="1"/>
  <c r="G240" i="1" s="1"/>
  <c r="G241" i="1" a="1"/>
  <c r="G241" i="1"/>
  <c r="G242" i="1" a="1"/>
  <c r="G242" i="1"/>
  <c r="G243" i="1" a="1"/>
  <c r="G243" i="1" s="1"/>
  <c r="G244" i="1" a="1"/>
  <c r="G244" i="1"/>
  <c r="G245" i="1" a="1"/>
  <c r="G245" i="1" s="1"/>
  <c r="G246" i="1" a="1"/>
  <c r="G246" i="1" s="1"/>
  <c r="G247" i="1" a="1"/>
  <c r="G247" i="1"/>
  <c r="G248" i="1" a="1"/>
  <c r="G248" i="1" s="1"/>
  <c r="G249" i="1" a="1"/>
  <c r="G249" i="1" s="1"/>
  <c r="G250" i="1" a="1"/>
  <c r="G250" i="1"/>
  <c r="G251" i="1" a="1"/>
  <c r="G251" i="1" s="1"/>
  <c r="G252" i="1" a="1"/>
  <c r="G252" i="1" s="1"/>
  <c r="G253" i="1" a="1"/>
  <c r="G253" i="1" s="1"/>
  <c r="G254" i="1" a="1"/>
  <c r="G254" i="1"/>
  <c r="G255" i="1" a="1"/>
  <c r="G255" i="1" s="1"/>
  <c r="G256" i="1" a="1"/>
  <c r="G256" i="1"/>
  <c r="G257" i="1" a="1"/>
  <c r="G257" i="1" s="1"/>
  <c r="G258" i="1" a="1"/>
  <c r="G258" i="1" s="1"/>
  <c r="G259" i="1" a="1"/>
  <c r="G259" i="1"/>
  <c r="G260" i="1" a="1"/>
  <c r="G260" i="1" s="1"/>
  <c r="G261" i="1" a="1"/>
  <c r="G261" i="1" s="1"/>
  <c r="G262" i="1" a="1"/>
  <c r="G262" i="1"/>
  <c r="G263" i="1" a="1"/>
  <c r="G263" i="1" s="1"/>
  <c r="G264" i="1" a="1"/>
  <c r="G264" i="1" s="1"/>
  <c r="G265" i="1" a="1"/>
  <c r="G265" i="1"/>
  <c r="G266" i="1" a="1"/>
  <c r="G266" i="1"/>
  <c r="G267" i="1" a="1"/>
  <c r="G267" i="1" s="1"/>
  <c r="G268" i="1" a="1"/>
  <c r="G268" i="1"/>
  <c r="G269" i="1" a="1"/>
  <c r="G269" i="1" s="1"/>
  <c r="G270" i="1" a="1"/>
  <c r="G270" i="1" s="1"/>
  <c r="G271" i="1" a="1"/>
  <c r="G271" i="1"/>
  <c r="G272" i="1" a="1"/>
  <c r="G272" i="1" s="1"/>
  <c r="G273" i="1" a="1"/>
  <c r="G273" i="1" s="1"/>
  <c r="G274" i="1" a="1"/>
  <c r="G274" i="1"/>
  <c r="G275" i="1" a="1"/>
  <c r="G275" i="1" s="1"/>
  <c r="G276" i="1" a="1"/>
  <c r="G276" i="1" s="1"/>
  <c r="G277" i="1" a="1"/>
  <c r="G277" i="1" s="1"/>
  <c r="G278" i="1" a="1"/>
  <c r="G278" i="1"/>
  <c r="G279" i="1" a="1"/>
  <c r="G279" i="1" s="1"/>
  <c r="G280" i="1" a="1"/>
  <c r="G280" i="1"/>
  <c r="G281" i="1" a="1"/>
  <c r="G281" i="1" s="1"/>
  <c r="G282" i="1" a="1"/>
  <c r="G282" i="1" s="1"/>
  <c r="G283" i="1" a="1"/>
  <c r="G283" i="1"/>
  <c r="G284" i="1" a="1"/>
  <c r="G284" i="1" s="1"/>
  <c r="G285" i="1" a="1"/>
  <c r="G285" i="1" s="1"/>
  <c r="G286" i="1" a="1"/>
  <c r="G286" i="1"/>
  <c r="G287" i="1" a="1"/>
  <c r="G287" i="1" s="1"/>
  <c r="G288" i="1" a="1"/>
  <c r="G288" i="1" s="1"/>
  <c r="G289" i="1" a="1"/>
  <c r="G289" i="1"/>
  <c r="G290" i="1" a="1"/>
  <c r="G290" i="1"/>
  <c r="G291" i="1" a="1"/>
  <c r="G291" i="1" s="1"/>
  <c r="G292" i="1" a="1"/>
  <c r="G292" i="1"/>
  <c r="G293" i="1" a="1"/>
  <c r="G293" i="1" s="1"/>
  <c r="G294" i="1" a="1"/>
  <c r="G294" i="1" s="1"/>
  <c r="G295" i="1" a="1"/>
  <c r="G295" i="1"/>
  <c r="G296" i="1" a="1"/>
  <c r="G296" i="1" s="1"/>
  <c r="G297" i="1" a="1"/>
  <c r="G297" i="1" s="1"/>
  <c r="G298" i="1" a="1"/>
  <c r="G298" i="1"/>
  <c r="G299" i="1" a="1"/>
  <c r="G299" i="1" s="1"/>
  <c r="G300" i="1" a="1"/>
  <c r="G300" i="1" s="1"/>
  <c r="G301" i="1" a="1"/>
  <c r="G301" i="1" s="1"/>
  <c r="G302" i="1" a="1"/>
  <c r="G302" i="1"/>
  <c r="G303" i="1" a="1"/>
  <c r="G303" i="1" s="1"/>
  <c r="G304" i="1" a="1"/>
  <c r="G304" i="1"/>
  <c r="G305" i="1" a="1"/>
  <c r="G305" i="1" s="1"/>
  <c r="G306" i="1" a="1"/>
  <c r="G306" i="1" s="1"/>
  <c r="G307" i="1" a="1"/>
  <c r="G307" i="1"/>
  <c r="G308" i="1" a="1"/>
  <c r="G308" i="1" s="1"/>
  <c r="G309" i="1" a="1"/>
  <c r="G309" i="1" s="1"/>
  <c r="G310" i="1" a="1"/>
  <c r="G310" i="1"/>
  <c r="G311" i="1" a="1"/>
  <c r="G311" i="1" s="1"/>
  <c r="G312" i="1" a="1"/>
  <c r="G312" i="1" s="1"/>
  <c r="G313" i="1" a="1"/>
  <c r="G313" i="1"/>
  <c r="G314" i="1" a="1"/>
  <c r="G314" i="1"/>
  <c r="G315" i="1" a="1"/>
  <c r="G315" i="1" s="1"/>
  <c r="G316" i="1" a="1"/>
  <c r="G316" i="1"/>
  <c r="G317" i="1" a="1"/>
  <c r="G317" i="1" s="1"/>
  <c r="G318" i="1" a="1"/>
  <c r="G318" i="1" s="1"/>
  <c r="G319" i="1" a="1"/>
  <c r="G319" i="1"/>
  <c r="G320" i="1" a="1"/>
  <c r="G320" i="1" s="1"/>
  <c r="G321" i="1" a="1"/>
  <c r="G321" i="1" s="1"/>
  <c r="G322" i="1" a="1"/>
  <c r="G322" i="1"/>
  <c r="G323" i="1" a="1"/>
  <c r="G323" i="1" s="1"/>
  <c r="G324" i="1" a="1"/>
  <c r="G324" i="1" s="1"/>
  <c r="G325" i="1" a="1"/>
  <c r="G325" i="1" s="1"/>
  <c r="G326" i="1" a="1"/>
  <c r="G326" i="1"/>
  <c r="G327" i="1" a="1"/>
  <c r="G327" i="1" s="1"/>
  <c r="G328" i="1" a="1"/>
  <c r="G328" i="1"/>
  <c r="G329" i="1" a="1"/>
  <c r="G329" i="1" s="1"/>
  <c r="G330" i="1" a="1"/>
  <c r="G330" i="1" s="1"/>
  <c r="G331" i="1" a="1"/>
  <c r="G331" i="1"/>
  <c r="G332" i="1" a="1"/>
  <c r="G332" i="1" s="1"/>
  <c r="G333" i="1" a="1"/>
  <c r="G333" i="1" s="1"/>
  <c r="G334" i="1" a="1"/>
  <c r="G334" i="1"/>
  <c r="G335" i="1" a="1"/>
  <c r="G335" i="1" s="1"/>
  <c r="G336" i="1" a="1"/>
  <c r="G336" i="1" s="1"/>
  <c r="G337" i="1" a="1"/>
  <c r="G337" i="1"/>
  <c r="G338" i="1" a="1"/>
  <c r="G338" i="1"/>
  <c r="G339" i="1" a="1"/>
  <c r="G339" i="1" s="1"/>
  <c r="G340" i="1" a="1"/>
  <c r="G340" i="1"/>
  <c r="G341" i="1" a="1"/>
  <c r="G341" i="1" s="1"/>
  <c r="G342" i="1" a="1"/>
  <c r="G342" i="1" s="1"/>
  <c r="G343" i="1" a="1"/>
  <c r="G343" i="1"/>
  <c r="G344" i="1" a="1"/>
  <c r="G344" i="1" s="1"/>
  <c r="G345" i="1" a="1"/>
  <c r="G345" i="1" s="1"/>
  <c r="G346" i="1" a="1"/>
  <c r="G346" i="1"/>
  <c r="G347" i="1" a="1"/>
  <c r="G347" i="1" s="1"/>
  <c r="G348" i="1" a="1"/>
  <c r="G348" i="1" s="1"/>
  <c r="G349" i="1" a="1"/>
  <c r="G349" i="1" s="1"/>
  <c r="G350" i="1" a="1"/>
  <c r="G350" i="1"/>
  <c r="G351" i="1" a="1"/>
  <c r="G351" i="1" s="1"/>
  <c r="G352" i="1" a="1"/>
  <c r="G352" i="1"/>
  <c r="G353" i="1" a="1"/>
  <c r="G353" i="1" s="1"/>
  <c r="G354" i="1" a="1"/>
  <c r="G354" i="1" s="1"/>
  <c r="G355" i="1" a="1"/>
  <c r="G355" i="1"/>
  <c r="G356" i="1" a="1"/>
  <c r="G356" i="1" s="1"/>
  <c r="G357" i="1" a="1"/>
  <c r="G357" i="1" s="1"/>
  <c r="G358" i="1" a="1"/>
  <c r="G358" i="1"/>
  <c r="G359" i="1" a="1"/>
  <c r="G359" i="1" s="1"/>
  <c r="G360" i="1" a="1"/>
  <c r="G360" i="1" s="1"/>
  <c r="G361" i="1" a="1"/>
  <c r="G361" i="1"/>
  <c r="G362" i="1" a="1"/>
  <c r="G362" i="1"/>
  <c r="G363" i="1" a="1"/>
  <c r="G363" i="1" s="1"/>
  <c r="G364" i="1" a="1"/>
  <c r="G364" i="1"/>
  <c r="G365" i="1" a="1"/>
  <c r="G365" i="1" s="1"/>
  <c r="G366" i="1" a="1"/>
  <c r="G366" i="1" s="1"/>
  <c r="G367" i="1" a="1"/>
  <c r="G367" i="1"/>
  <c r="G368" i="1" a="1"/>
  <c r="G368" i="1" s="1"/>
  <c r="G369" i="1" a="1"/>
  <c r="G369" i="1" s="1"/>
  <c r="G370" i="1" a="1"/>
  <c r="G370" i="1"/>
  <c r="G371" i="1" a="1"/>
  <c r="G371" i="1" s="1"/>
  <c r="G372" i="1" a="1"/>
  <c r="G372" i="1" s="1"/>
  <c r="G373" i="1" a="1"/>
  <c r="G373" i="1" s="1"/>
  <c r="G374" i="1" a="1"/>
  <c r="G374" i="1"/>
  <c r="G375" i="1" a="1"/>
  <c r="G375" i="1" s="1"/>
  <c r="G376" i="1" a="1"/>
  <c r="G376" i="1"/>
  <c r="G377" i="1" a="1"/>
  <c r="G377" i="1" s="1"/>
  <c r="G378" i="1" a="1"/>
  <c r="G378" i="1" s="1"/>
  <c r="G379" i="1" a="1"/>
  <c r="G379" i="1"/>
  <c r="G380" i="1" a="1"/>
  <c r="G380" i="1" s="1"/>
  <c r="G381" i="1" a="1"/>
  <c r="G381" i="1" s="1"/>
  <c r="G382" i="1" a="1"/>
  <c r="G382" i="1"/>
  <c r="G383" i="1" a="1"/>
  <c r="G383" i="1" s="1"/>
  <c r="G384" i="1" a="1"/>
  <c r="G384" i="1" s="1"/>
  <c r="G385" i="1" a="1"/>
  <c r="G385" i="1"/>
  <c r="G386" i="1" a="1"/>
  <c r="G386" i="1"/>
  <c r="G387" i="1" a="1"/>
  <c r="G387" i="1" s="1"/>
  <c r="G388" i="1" a="1"/>
  <c r="G388" i="1"/>
  <c r="G389" i="1" a="1"/>
  <c r="G389" i="1" s="1"/>
  <c r="G390" i="1" a="1"/>
  <c r="G390" i="1" s="1"/>
  <c r="G391" i="1" a="1"/>
  <c r="G391" i="1"/>
  <c r="G392" i="1" a="1"/>
  <c r="G392" i="1" s="1"/>
  <c r="G393" i="1" a="1"/>
  <c r="G393" i="1" s="1"/>
  <c r="G394" i="1" a="1"/>
  <c r="G394" i="1"/>
  <c r="G395" i="1" a="1"/>
  <c r="G395" i="1" s="1"/>
  <c r="G396" i="1" a="1"/>
  <c r="G396" i="1" s="1"/>
  <c r="G397" i="1" a="1"/>
  <c r="G397" i="1" s="1"/>
  <c r="G398" i="1" a="1"/>
  <c r="G398" i="1"/>
  <c r="G399" i="1" a="1"/>
  <c r="G399" i="1" s="1"/>
  <c r="G400" i="1" a="1"/>
  <c r="G400" i="1"/>
  <c r="G401" i="1" a="1"/>
  <c r="G401" i="1" s="1"/>
  <c r="G402" i="1" a="1"/>
  <c r="G402" i="1" s="1"/>
  <c r="G403" i="1" a="1"/>
  <c r="G403" i="1"/>
  <c r="G404" i="1" a="1"/>
  <c r="G404" i="1" s="1"/>
  <c r="G405" i="1" a="1"/>
  <c r="G405" i="1" s="1"/>
  <c r="G406" i="1" a="1"/>
  <c r="G406" i="1"/>
  <c r="G407" i="1" a="1"/>
  <c r="G407" i="1" s="1"/>
  <c r="G408" i="1" a="1"/>
  <c r="G408" i="1" s="1"/>
  <c r="G409" i="1" a="1"/>
  <c r="G409" i="1"/>
  <c r="G410" i="1" a="1"/>
  <c r="G410" i="1"/>
  <c r="G411" i="1" a="1"/>
  <c r="G411" i="1" s="1"/>
  <c r="G412" i="1" a="1"/>
  <c r="G412" i="1"/>
  <c r="G413" i="1" a="1"/>
  <c r="G413" i="1" s="1"/>
  <c r="G414" i="1" a="1"/>
  <c r="G414" i="1" s="1"/>
  <c r="G415" i="1" a="1"/>
  <c r="G415" i="1"/>
  <c r="G416" i="1" a="1"/>
  <c r="G416" i="1" s="1"/>
  <c r="G417" i="1" a="1"/>
  <c r="G417" i="1" s="1"/>
  <c r="G418" i="1" a="1"/>
  <c r="G418" i="1"/>
  <c r="G419" i="1" a="1"/>
  <c r="G419" i="1" s="1"/>
  <c r="G420" i="1" a="1"/>
  <c r="G420" i="1" s="1"/>
  <c r="G421" i="1" a="1"/>
  <c r="G421" i="1" s="1"/>
  <c r="G422" i="1" a="1"/>
  <c r="G422" i="1"/>
  <c r="G423" i="1" a="1"/>
  <c r="G423" i="1" s="1"/>
  <c r="G424" i="1" a="1"/>
  <c r="G424" i="1"/>
  <c r="G425" i="1" a="1"/>
  <c r="G425" i="1" s="1"/>
  <c r="G426" i="1" a="1"/>
  <c r="G426" i="1" s="1"/>
  <c r="G427" i="1" a="1"/>
  <c r="G427" i="1"/>
  <c r="G428" i="1" a="1"/>
  <c r="G428" i="1" s="1"/>
  <c r="G429" i="1" a="1"/>
  <c r="G429" i="1" s="1"/>
  <c r="G430" i="1" a="1"/>
  <c r="G430" i="1"/>
  <c r="G431" i="1" a="1"/>
  <c r="G431" i="1" s="1"/>
  <c r="G432" i="1" a="1"/>
  <c r="G432" i="1" s="1"/>
  <c r="G433" i="1" a="1"/>
  <c r="G433" i="1"/>
  <c r="G434" i="1" a="1"/>
  <c r="G434" i="1"/>
  <c r="G435" i="1" a="1"/>
  <c r="G435" i="1" s="1"/>
  <c r="G436" i="1" a="1"/>
  <c r="G436" i="1"/>
  <c r="G437" i="1" a="1"/>
  <c r="G437" i="1" s="1"/>
  <c r="G438" i="1" a="1"/>
  <c r="G438" i="1" s="1"/>
  <c r="G439" i="1" a="1"/>
  <c r="G439" i="1"/>
  <c r="G440" i="1" a="1"/>
  <c r="G440" i="1" s="1"/>
  <c r="G441" i="1" a="1"/>
  <c r="G441" i="1" s="1"/>
  <c r="G442" i="1" a="1"/>
  <c r="G442" i="1"/>
  <c r="G443" i="1" a="1"/>
  <c r="G443" i="1" s="1"/>
  <c r="G444" i="1" a="1"/>
  <c r="G444" i="1" s="1"/>
  <c r="G445" i="1" a="1"/>
  <c r="G445" i="1" s="1"/>
  <c r="G446" i="1" a="1"/>
  <c r="G446" i="1"/>
  <c r="G447" i="1" a="1"/>
  <c r="G447" i="1" s="1"/>
  <c r="G448" i="1" a="1"/>
  <c r="G448" i="1"/>
  <c r="G449" i="1" a="1"/>
  <c r="G449" i="1" s="1"/>
  <c r="G450" i="1" a="1"/>
  <c r="G450" i="1" s="1"/>
  <c r="G451" i="1" a="1"/>
  <c r="G451" i="1"/>
  <c r="G452" i="1" a="1"/>
  <c r="G452" i="1" s="1"/>
  <c r="G453" i="1" a="1"/>
  <c r="G453" i="1" s="1"/>
  <c r="G454" i="1" a="1"/>
  <c r="G454" i="1"/>
  <c r="G455" i="1" a="1"/>
  <c r="G455" i="1" s="1"/>
  <c r="G456" i="1" a="1"/>
  <c r="G456" i="1" s="1"/>
  <c r="G457" i="1" a="1"/>
  <c r="G457" i="1"/>
  <c r="G458" i="1" a="1"/>
  <c r="G458" i="1"/>
  <c r="G459" i="1" a="1"/>
  <c r="G459" i="1" s="1"/>
  <c r="G460" i="1" a="1"/>
  <c r="G460" i="1"/>
  <c r="G461" i="1" a="1"/>
  <c r="G461" i="1" s="1"/>
  <c r="G462" i="1" a="1"/>
  <c r="G462" i="1" s="1"/>
  <c r="G463" i="1" a="1"/>
  <c r="G463" i="1"/>
  <c r="G464" i="1" a="1"/>
  <c r="G464" i="1" s="1"/>
  <c r="G465" i="1" a="1"/>
  <c r="G465" i="1" s="1"/>
  <c r="G466" i="1" a="1"/>
  <c r="G466" i="1"/>
  <c r="G467" i="1" a="1"/>
  <c r="G467" i="1" s="1"/>
  <c r="G468" i="1" a="1"/>
  <c r="G468" i="1" s="1"/>
  <c r="G469" i="1" a="1"/>
  <c r="G469" i="1" s="1"/>
  <c r="G470" i="1" a="1"/>
  <c r="G470" i="1"/>
  <c r="G471" i="1" a="1"/>
  <c r="G471" i="1" s="1"/>
  <c r="G472" i="1" a="1"/>
  <c r="G472" i="1"/>
  <c r="G473" i="1" a="1"/>
  <c r="G473" i="1" s="1"/>
  <c r="G474" i="1" a="1"/>
  <c r="G474" i="1" s="1"/>
  <c r="G475" i="1" a="1"/>
  <c r="G475" i="1"/>
  <c r="G476" i="1" a="1"/>
  <c r="G476" i="1" s="1"/>
  <c r="G477" i="1" a="1"/>
  <c r="G477" i="1" s="1"/>
  <c r="G478" i="1" a="1"/>
  <c r="G478" i="1"/>
  <c r="G479" i="1" a="1"/>
  <c r="G479" i="1" s="1"/>
  <c r="G480" i="1" a="1"/>
  <c r="G480" i="1" s="1"/>
  <c r="G481" i="1" a="1"/>
  <c r="G481" i="1"/>
  <c r="G482" i="1" a="1"/>
  <c r="G482" i="1"/>
  <c r="G483" i="1" a="1"/>
  <c r="G483" i="1" s="1"/>
  <c r="G484" i="1" a="1"/>
  <c r="G484" i="1"/>
  <c r="G485" i="1" a="1"/>
  <c r="G485" i="1" s="1"/>
  <c r="G486" i="1" a="1"/>
  <c r="G486" i="1" s="1"/>
  <c r="G487" i="1" a="1"/>
  <c r="G487" i="1"/>
  <c r="G488" i="1" a="1"/>
  <c r="G488" i="1" s="1"/>
  <c r="G489" i="1" a="1"/>
  <c r="G489" i="1" s="1"/>
  <c r="G490" i="1" a="1"/>
  <c r="G490" i="1"/>
  <c r="G491" i="1" a="1"/>
  <c r="G491" i="1" s="1"/>
  <c r="G492" i="1" a="1"/>
  <c r="G492" i="1" s="1"/>
  <c r="G493" i="1" a="1"/>
  <c r="G493" i="1" s="1"/>
  <c r="G494" i="1" a="1"/>
  <c r="G494" i="1"/>
  <c r="G495" i="1" a="1"/>
  <c r="G495" i="1" s="1"/>
  <c r="G496" i="1" a="1"/>
  <c r="G496" i="1"/>
  <c r="G497" i="1" a="1"/>
  <c r="G497" i="1" s="1"/>
  <c r="G498" i="1" a="1"/>
  <c r="G498" i="1" s="1"/>
  <c r="G499" i="1" a="1"/>
  <c r="G499" i="1"/>
  <c r="G500" i="1" a="1"/>
  <c r="G500" i="1" s="1"/>
  <c r="G501" i="1" a="1"/>
  <c r="G501" i="1" s="1"/>
  <c r="G502" i="1" a="1"/>
  <c r="G502" i="1" s="1"/>
  <c r="G503" i="1" a="1"/>
  <c r="G503" i="1" s="1"/>
  <c r="G504" i="1" a="1"/>
  <c r="G504" i="1" s="1"/>
  <c r="G505" i="1" a="1"/>
  <c r="G505" i="1" s="1"/>
  <c r="G2" i="1" a="1"/>
  <c r="G2" i="1" s="1"/>
  <c r="F3" i="1" a="1"/>
  <c r="F3" i="1" s="1"/>
  <c r="F4" i="1" a="1"/>
  <c r="F4" i="1"/>
  <c r="F5" i="1" a="1"/>
  <c r="F5" i="1"/>
  <c r="F6" i="1" a="1"/>
  <c r="F6" i="1"/>
  <c r="F7" i="1" a="1"/>
  <c r="F7" i="1"/>
  <c r="F8" i="1" a="1"/>
  <c r="F8" i="1"/>
  <c r="F9" i="1" a="1"/>
  <c r="F9" i="1" s="1"/>
  <c r="F10" i="1" a="1"/>
  <c r="F10" i="1"/>
  <c r="F11" i="1" a="1"/>
  <c r="F11" i="1"/>
  <c r="F12" i="1" a="1"/>
  <c r="F12" i="1" s="1"/>
  <c r="F13" i="1" a="1"/>
  <c r="F13" i="1"/>
  <c r="F14" i="1" a="1"/>
  <c r="F14" i="1"/>
  <c r="F15" i="1" a="1"/>
  <c r="F15" i="1" s="1"/>
  <c r="F16" i="1" a="1"/>
  <c r="F16" i="1"/>
  <c r="F17" i="1" a="1"/>
  <c r="F17" i="1"/>
  <c r="F18" i="1" a="1"/>
  <c r="F18" i="1"/>
  <c r="F19" i="1" a="1"/>
  <c r="F19" i="1"/>
  <c r="F20" i="1" a="1"/>
  <c r="F20" i="1"/>
  <c r="F21" i="1" a="1"/>
  <c r="F21" i="1" s="1"/>
  <c r="F22" i="1" a="1"/>
  <c r="F22" i="1"/>
  <c r="F23" i="1" a="1"/>
  <c r="F23" i="1" s="1"/>
  <c r="F24" i="1" a="1"/>
  <c r="F24" i="1"/>
  <c r="F25" i="1" a="1"/>
  <c r="F25" i="1" s="1"/>
  <c r="F26" i="1" a="1"/>
  <c r="F26" i="1"/>
  <c r="F27" i="1" a="1"/>
  <c r="F27" i="1" s="1"/>
  <c r="F28" i="1" a="1"/>
  <c r="F28" i="1"/>
  <c r="F29" i="1" a="1"/>
  <c r="F29" i="1" s="1"/>
  <c r="F30" i="1" a="1"/>
  <c r="F30" i="1"/>
  <c r="F31" i="1" a="1"/>
  <c r="F31" i="1"/>
  <c r="F32" i="1" a="1"/>
  <c r="F32" i="1"/>
  <c r="F33" i="1" a="1"/>
  <c r="F33" i="1" s="1"/>
  <c r="F34" i="1" a="1"/>
  <c r="F34" i="1"/>
  <c r="F35" i="1" a="1"/>
  <c r="F35" i="1"/>
  <c r="F36" i="1" a="1"/>
  <c r="F36" i="1" s="1"/>
  <c r="F37" i="1" a="1"/>
  <c r="F37" i="1"/>
  <c r="F38" i="1" a="1"/>
  <c r="F38" i="1" s="1"/>
  <c r="F39" i="1" a="1"/>
  <c r="F39" i="1" s="1"/>
  <c r="F40" i="1" a="1"/>
  <c r="F40" i="1"/>
  <c r="F41" i="1" a="1"/>
  <c r="F41" i="1"/>
  <c r="F42" i="1" a="1"/>
  <c r="F42" i="1" s="1"/>
  <c r="F43" i="1" a="1"/>
  <c r="F43" i="1"/>
  <c r="F44" i="1" a="1"/>
  <c r="F44" i="1"/>
  <c r="F45" i="1" a="1"/>
  <c r="F45" i="1" s="1"/>
  <c r="F46" i="1" a="1"/>
  <c r="F46" i="1"/>
  <c r="F47" i="1" a="1"/>
  <c r="F47" i="1"/>
  <c r="F48" i="1" a="1"/>
  <c r="F48" i="1"/>
  <c r="F49" i="1" a="1"/>
  <c r="F49" i="1" s="1"/>
  <c r="F50" i="1" a="1"/>
  <c r="F50" i="1"/>
  <c r="F51" i="1" a="1"/>
  <c r="F51" i="1" s="1"/>
  <c r="F52" i="1" a="1"/>
  <c r="F52" i="1"/>
  <c r="F53" i="1" a="1"/>
  <c r="F53" i="1"/>
  <c r="F54" i="1" a="1"/>
  <c r="F54" i="1"/>
  <c r="F55" i="1" a="1"/>
  <c r="F55" i="1" s="1"/>
  <c r="F56" i="1" a="1"/>
  <c r="F56" i="1"/>
  <c r="F57" i="1" a="1"/>
  <c r="F57" i="1" s="1"/>
  <c r="F58" i="1" a="1"/>
  <c r="F58" i="1"/>
  <c r="F59" i="1" a="1"/>
  <c r="F59" i="1"/>
  <c r="F60" i="1" a="1"/>
  <c r="F60" i="1"/>
  <c r="F61" i="1" a="1"/>
  <c r="F61" i="1"/>
  <c r="F62" i="1" a="1"/>
  <c r="F62" i="1" s="1"/>
  <c r="F63" i="1" a="1"/>
  <c r="F63" i="1" s="1"/>
  <c r="F64" i="1" a="1"/>
  <c r="F64" i="1"/>
  <c r="F65" i="1" a="1"/>
  <c r="F65" i="1"/>
  <c r="F66" i="1" a="1"/>
  <c r="F66" i="1"/>
  <c r="F67" i="1" a="1"/>
  <c r="F67" i="1"/>
  <c r="F68" i="1" a="1"/>
  <c r="F68" i="1" s="1"/>
  <c r="F69" i="1" a="1"/>
  <c r="F69" i="1" s="1"/>
  <c r="F70" i="1" a="1"/>
  <c r="F70" i="1"/>
  <c r="F71" i="1" a="1"/>
  <c r="F71" i="1" s="1"/>
  <c r="F72" i="1" a="1"/>
  <c r="F72" i="1"/>
  <c r="F73" i="1" a="1"/>
  <c r="F73" i="1"/>
  <c r="F74" i="1" a="1"/>
  <c r="F74" i="1"/>
  <c r="F75" i="1" a="1"/>
  <c r="F75" i="1" s="1"/>
  <c r="F76" i="1" a="1"/>
  <c r="F76" i="1"/>
  <c r="F77" i="1" a="1"/>
  <c r="F77" i="1"/>
  <c r="F78" i="1" a="1"/>
  <c r="F78" i="1"/>
  <c r="F79" i="1" a="1"/>
  <c r="F79" i="1"/>
  <c r="F80" i="1" a="1"/>
  <c r="F80" i="1"/>
  <c r="F81" i="1" a="1"/>
  <c r="F81" i="1" s="1"/>
  <c r="F82" i="1" a="1"/>
  <c r="F82" i="1"/>
  <c r="F83" i="1" a="1"/>
  <c r="F83" i="1"/>
  <c r="F84" i="1" a="1"/>
  <c r="F84" i="1" s="1"/>
  <c r="F85" i="1" a="1"/>
  <c r="F85" i="1"/>
  <c r="F86" i="1" a="1"/>
  <c r="F86" i="1"/>
  <c r="F87" i="1" a="1"/>
  <c r="F87" i="1" s="1"/>
  <c r="F88" i="1" a="1"/>
  <c r="F88" i="1"/>
  <c r="F89" i="1" a="1"/>
  <c r="F89" i="1"/>
  <c r="F90" i="1" a="1"/>
  <c r="F90" i="1"/>
  <c r="F91" i="1" a="1"/>
  <c r="F91" i="1"/>
  <c r="F92" i="1" a="1"/>
  <c r="F92" i="1"/>
  <c r="F93" i="1" a="1"/>
  <c r="F93" i="1" s="1"/>
  <c r="F94" i="1" a="1"/>
  <c r="F94" i="1"/>
  <c r="F95" i="1" a="1"/>
  <c r="F95" i="1" s="1"/>
  <c r="F96" i="1" a="1"/>
  <c r="F96" i="1"/>
  <c r="F97" i="1" a="1"/>
  <c r="F97" i="1" s="1"/>
  <c r="F98" i="1" a="1"/>
  <c r="F98" i="1"/>
  <c r="F99" i="1" a="1"/>
  <c r="F99" i="1" s="1"/>
  <c r="F100" i="1" a="1"/>
  <c r="F100" i="1"/>
  <c r="F101" i="1" a="1"/>
  <c r="F101" i="1" s="1"/>
  <c r="F102" i="1" a="1"/>
  <c r="F102" i="1"/>
  <c r="F103" i="1" a="1"/>
  <c r="F103" i="1"/>
  <c r="F104" i="1" a="1"/>
  <c r="F104" i="1"/>
  <c r="F105" i="1" a="1"/>
  <c r="F105" i="1" s="1"/>
  <c r="F106" i="1" a="1"/>
  <c r="F106" i="1"/>
  <c r="F107" i="1" a="1"/>
  <c r="F107" i="1"/>
  <c r="F108" i="1" a="1"/>
  <c r="F108" i="1" s="1"/>
  <c r="F109" i="1" a="1"/>
  <c r="F109" i="1"/>
  <c r="F110" i="1" a="1"/>
  <c r="F110" i="1" s="1"/>
  <c r="F111" i="1" a="1"/>
  <c r="F111" i="1" s="1"/>
  <c r="F112" i="1" a="1"/>
  <c r="F112" i="1"/>
  <c r="F113" i="1" a="1"/>
  <c r="F113" i="1"/>
  <c r="F114" i="1" a="1"/>
  <c r="F114" i="1" s="1"/>
  <c r="F115" i="1" a="1"/>
  <c r="F115" i="1"/>
  <c r="F116" i="1" a="1"/>
  <c r="F116" i="1"/>
  <c r="F117" i="1" a="1"/>
  <c r="F117" i="1" s="1"/>
  <c r="F118" i="1" a="1"/>
  <c r="F118" i="1"/>
  <c r="F119" i="1" a="1"/>
  <c r="F119" i="1"/>
  <c r="F120" i="1" a="1"/>
  <c r="F120" i="1"/>
  <c r="F121" i="1" a="1"/>
  <c r="F121" i="1" s="1"/>
  <c r="F122" i="1" a="1"/>
  <c r="F122" i="1"/>
  <c r="F123" i="1" a="1"/>
  <c r="F123" i="1" s="1"/>
  <c r="F124" i="1" a="1"/>
  <c r="F124" i="1"/>
  <c r="F125" i="1" a="1"/>
  <c r="F125" i="1"/>
  <c r="F126" i="1" a="1"/>
  <c r="F126" i="1"/>
  <c r="F127" i="1" a="1"/>
  <c r="F127" i="1" s="1"/>
  <c r="F128" i="1" a="1"/>
  <c r="F128" i="1"/>
  <c r="F129" i="1" a="1"/>
  <c r="F129" i="1" s="1"/>
  <c r="F130" i="1" a="1"/>
  <c r="F130" i="1"/>
  <c r="F131" i="1" a="1"/>
  <c r="F131" i="1"/>
  <c r="F132" i="1" a="1"/>
  <c r="F132" i="1"/>
  <c r="F133" i="1" a="1"/>
  <c r="F133" i="1"/>
  <c r="F134" i="1" a="1"/>
  <c r="F134" i="1" s="1"/>
  <c r="F135" i="1" a="1"/>
  <c r="F135" i="1" s="1"/>
  <c r="F136" i="1" a="1"/>
  <c r="F136" i="1"/>
  <c r="F137" i="1" a="1"/>
  <c r="F137" i="1"/>
  <c r="F138" i="1" a="1"/>
  <c r="F138" i="1"/>
  <c r="F139" i="1" a="1"/>
  <c r="F139" i="1"/>
  <c r="F140" i="1" a="1"/>
  <c r="F140" i="1" s="1"/>
  <c r="F141" i="1" a="1"/>
  <c r="F141" i="1" s="1"/>
  <c r="F142" i="1" a="1"/>
  <c r="F142" i="1"/>
  <c r="F143" i="1" a="1"/>
  <c r="F143" i="1" s="1"/>
  <c r="F144" i="1" a="1"/>
  <c r="F144" i="1"/>
  <c r="F145" i="1" a="1"/>
  <c r="F145" i="1"/>
  <c r="F146" i="1" a="1"/>
  <c r="F146" i="1"/>
  <c r="F147" i="1" a="1"/>
  <c r="F147" i="1" s="1"/>
  <c r="F148" i="1" a="1"/>
  <c r="F148" i="1"/>
  <c r="F149" i="1" a="1"/>
  <c r="F149" i="1"/>
  <c r="F150" i="1" a="1"/>
  <c r="F150" i="1"/>
  <c r="F151" i="1" a="1"/>
  <c r="F151" i="1"/>
  <c r="F152" i="1" a="1"/>
  <c r="F152" i="1"/>
  <c r="F153" i="1" a="1"/>
  <c r="F153" i="1" s="1"/>
  <c r="F154" i="1" a="1"/>
  <c r="F154" i="1"/>
  <c r="F155" i="1" a="1"/>
  <c r="F155" i="1"/>
  <c r="F156" i="1" a="1"/>
  <c r="F156" i="1" s="1"/>
  <c r="F157" i="1" a="1"/>
  <c r="F157" i="1"/>
  <c r="F158" i="1" a="1"/>
  <c r="F158" i="1"/>
  <c r="F159" i="1" a="1"/>
  <c r="F159" i="1" s="1"/>
  <c r="F160" i="1" a="1"/>
  <c r="F160" i="1"/>
  <c r="F161" i="1" a="1"/>
  <c r="F161" i="1"/>
  <c r="F162" i="1" a="1"/>
  <c r="F162" i="1"/>
  <c r="F163" i="1" a="1"/>
  <c r="F163" i="1"/>
  <c r="F164" i="1" a="1"/>
  <c r="F164" i="1"/>
  <c r="F165" i="1" a="1"/>
  <c r="F165" i="1" s="1"/>
  <c r="F166" i="1" a="1"/>
  <c r="F166" i="1"/>
  <c r="F167" i="1" a="1"/>
  <c r="F167" i="1" s="1"/>
  <c r="F168" i="1" a="1"/>
  <c r="F168" i="1"/>
  <c r="F169" i="1" a="1"/>
  <c r="F169" i="1" s="1"/>
  <c r="F170" i="1" a="1"/>
  <c r="F170" i="1"/>
  <c r="F171" i="1" a="1"/>
  <c r="F171" i="1" s="1"/>
  <c r="F172" i="1" a="1"/>
  <c r="F172" i="1"/>
  <c r="F173" i="1" a="1"/>
  <c r="F173" i="1" s="1"/>
  <c r="F174" i="1" a="1"/>
  <c r="F174" i="1"/>
  <c r="F175" i="1" a="1"/>
  <c r="F175" i="1"/>
  <c r="F176" i="1" a="1"/>
  <c r="F176" i="1"/>
  <c r="F177" i="1" a="1"/>
  <c r="F177" i="1" s="1"/>
  <c r="F178" i="1" a="1"/>
  <c r="F178" i="1"/>
  <c r="F179" i="1" a="1"/>
  <c r="F179" i="1"/>
  <c r="F180" i="1" a="1"/>
  <c r="F180" i="1" s="1"/>
  <c r="F181" i="1" a="1"/>
  <c r="F181" i="1"/>
  <c r="F182" i="1" a="1"/>
  <c r="F182" i="1" s="1"/>
  <c r="F183" i="1" a="1"/>
  <c r="F183" i="1" s="1"/>
  <c r="F184" i="1" a="1"/>
  <c r="F184" i="1"/>
  <c r="F185" i="1" a="1"/>
  <c r="F185" i="1"/>
  <c r="F186" i="1" a="1"/>
  <c r="F186" i="1" s="1"/>
  <c r="F187" i="1" a="1"/>
  <c r="F187" i="1"/>
  <c r="F188" i="1" a="1"/>
  <c r="F188" i="1"/>
  <c r="F189" i="1" a="1"/>
  <c r="F189" i="1" s="1"/>
  <c r="F190" i="1" a="1"/>
  <c r="F190" i="1"/>
  <c r="F191" i="1" a="1"/>
  <c r="F191" i="1"/>
  <c r="F192" i="1" a="1"/>
  <c r="F192" i="1"/>
  <c r="F193" i="1" a="1"/>
  <c r="F193" i="1" s="1"/>
  <c r="F194" i="1" a="1"/>
  <c r="F194" i="1"/>
  <c r="F195" i="1" a="1"/>
  <c r="F195" i="1" s="1"/>
  <c r="F196" i="1" a="1"/>
  <c r="F196" i="1"/>
  <c r="F197" i="1" a="1"/>
  <c r="F197" i="1"/>
  <c r="F198" i="1" a="1"/>
  <c r="F198" i="1"/>
  <c r="F199" i="1" a="1"/>
  <c r="F199" i="1" s="1"/>
  <c r="F200" i="1" a="1"/>
  <c r="F200" i="1"/>
  <c r="F201" i="1" a="1"/>
  <c r="F201" i="1" s="1"/>
  <c r="F202" i="1" a="1"/>
  <c r="F202" i="1"/>
  <c r="F203" i="1" a="1"/>
  <c r="F203" i="1"/>
  <c r="F204" i="1" a="1"/>
  <c r="F204" i="1"/>
  <c r="F205" i="1" a="1"/>
  <c r="F205" i="1"/>
  <c r="F206" i="1" a="1"/>
  <c r="F206" i="1" s="1"/>
  <c r="F207" i="1" a="1"/>
  <c r="F207" i="1" s="1"/>
  <c r="F208" i="1" a="1"/>
  <c r="F208" i="1"/>
  <c r="F209" i="1" a="1"/>
  <c r="F209" i="1"/>
  <c r="F210" i="1" a="1"/>
  <c r="F210" i="1"/>
  <c r="F211" i="1" a="1"/>
  <c r="F211" i="1"/>
  <c r="F212" i="1" a="1"/>
  <c r="F212" i="1" s="1"/>
  <c r="F213" i="1" a="1"/>
  <c r="F213" i="1" s="1"/>
  <c r="F214" i="1" a="1"/>
  <c r="F214" i="1"/>
  <c r="F215" i="1" a="1"/>
  <c r="F215" i="1" s="1"/>
  <c r="F216" i="1" a="1"/>
  <c r="F216" i="1"/>
  <c r="F217" i="1" a="1"/>
  <c r="F217" i="1"/>
  <c r="F218" i="1" a="1"/>
  <c r="F218" i="1"/>
  <c r="F219" i="1" a="1"/>
  <c r="F219" i="1" s="1"/>
  <c r="F220" i="1" a="1"/>
  <c r="F220" i="1"/>
  <c r="F221" i="1" a="1"/>
  <c r="F221" i="1"/>
  <c r="F222" i="1" a="1"/>
  <c r="F222" i="1"/>
  <c r="F223" i="1" a="1"/>
  <c r="F223" i="1"/>
  <c r="F224" i="1" a="1"/>
  <c r="F224" i="1"/>
  <c r="F225" i="1" a="1"/>
  <c r="F225" i="1" s="1"/>
  <c r="F226" i="1" a="1"/>
  <c r="F226" i="1"/>
  <c r="F227" i="1" a="1"/>
  <c r="F227" i="1"/>
  <c r="F228" i="1" a="1"/>
  <c r="F228" i="1"/>
  <c r="F229" i="1" a="1"/>
  <c r="F229" i="1"/>
  <c r="F230" i="1" a="1"/>
  <c r="F230" i="1"/>
  <c r="F231" i="1" a="1"/>
  <c r="F231" i="1" s="1"/>
  <c r="F232" i="1" a="1"/>
  <c r="F232" i="1"/>
  <c r="F233" i="1" a="1"/>
  <c r="F233" i="1"/>
  <c r="F234" i="1" a="1"/>
  <c r="F234" i="1"/>
  <c r="F235" i="1" a="1"/>
  <c r="F235" i="1"/>
  <c r="F236" i="1" a="1"/>
  <c r="F236" i="1"/>
  <c r="F237" i="1" a="1"/>
  <c r="F237" i="1" s="1"/>
  <c r="F238" i="1" a="1"/>
  <c r="F238" i="1"/>
  <c r="F239" i="1" a="1"/>
  <c r="F239" i="1" s="1"/>
  <c r="F240" i="1" a="1"/>
  <c r="F240" i="1"/>
  <c r="F241" i="1" a="1"/>
  <c r="F241" i="1"/>
  <c r="F242" i="1" a="1"/>
  <c r="F242" i="1"/>
  <c r="F243" i="1" a="1"/>
  <c r="F243" i="1" s="1"/>
  <c r="F244" i="1" a="1"/>
  <c r="F244" i="1"/>
  <c r="F245" i="1" a="1"/>
  <c r="F245" i="1" s="1"/>
  <c r="F246" i="1" a="1"/>
  <c r="F246" i="1"/>
  <c r="F247" i="1" a="1"/>
  <c r="F247" i="1"/>
  <c r="F248" i="1" a="1"/>
  <c r="F248" i="1"/>
  <c r="F249" i="1" a="1"/>
  <c r="F249" i="1" s="1"/>
  <c r="F250" i="1" a="1"/>
  <c r="F250" i="1"/>
  <c r="F251" i="1" a="1"/>
  <c r="F251" i="1"/>
  <c r="F252" i="1" a="1"/>
  <c r="F252" i="1" s="1"/>
  <c r="F253" i="1" a="1"/>
  <c r="F253" i="1"/>
  <c r="F254" i="1" a="1"/>
  <c r="F254" i="1"/>
  <c r="F255" i="1" a="1"/>
  <c r="F255" i="1" s="1"/>
  <c r="F256" i="1" a="1"/>
  <c r="F256" i="1"/>
  <c r="F257" i="1" a="1"/>
  <c r="F257" i="1"/>
  <c r="F258" i="1" a="1"/>
  <c r="F258" i="1" s="1"/>
  <c r="F259" i="1" a="1"/>
  <c r="F259" i="1"/>
  <c r="F260" i="1" a="1"/>
  <c r="F260" i="1"/>
  <c r="F261" i="1" a="1"/>
  <c r="F261" i="1" s="1"/>
  <c r="F262" i="1" a="1"/>
  <c r="F262" i="1"/>
  <c r="F263" i="1" a="1"/>
  <c r="F263" i="1"/>
  <c r="F264" i="1" a="1"/>
  <c r="F264" i="1"/>
  <c r="F265" i="1" a="1"/>
  <c r="F265" i="1" s="1"/>
  <c r="F266" i="1" a="1"/>
  <c r="F266" i="1"/>
  <c r="F267" i="1" a="1"/>
  <c r="F267" i="1" s="1"/>
  <c r="F268" i="1" a="1"/>
  <c r="F268" i="1"/>
  <c r="F269" i="1" a="1"/>
  <c r="F269" i="1"/>
  <c r="F270" i="1" a="1"/>
  <c r="F270" i="1"/>
  <c r="F271" i="1" a="1"/>
  <c r="F271" i="1" s="1"/>
  <c r="F272" i="1" a="1"/>
  <c r="F272" i="1"/>
  <c r="F273" i="1" a="1"/>
  <c r="F273" i="1" s="1"/>
  <c r="F274" i="1" a="1"/>
  <c r="F274" i="1"/>
  <c r="F275" i="1" a="1"/>
  <c r="F275" i="1"/>
  <c r="F276" i="1" a="1"/>
  <c r="F276" i="1"/>
  <c r="F277" i="1" a="1"/>
  <c r="F277" i="1"/>
  <c r="F278" i="1" a="1"/>
  <c r="F278" i="1" s="1"/>
  <c r="F279" i="1" a="1"/>
  <c r="F279" i="1" s="1"/>
  <c r="F280" i="1" a="1"/>
  <c r="F280" i="1"/>
  <c r="F281" i="1" a="1"/>
  <c r="F281" i="1"/>
  <c r="F282" i="1" a="1"/>
  <c r="F282" i="1"/>
  <c r="F283" i="1" a="1"/>
  <c r="F283" i="1"/>
  <c r="F284" i="1" a="1"/>
  <c r="F284" i="1" s="1"/>
  <c r="F285" i="1" a="1"/>
  <c r="F285" i="1" s="1"/>
  <c r="F286" i="1" a="1"/>
  <c r="F286" i="1"/>
  <c r="F287" i="1" a="1"/>
  <c r="F287" i="1"/>
  <c r="F288" i="1" a="1"/>
  <c r="F288" i="1"/>
  <c r="F289" i="1" a="1"/>
  <c r="F289" i="1"/>
  <c r="F290" i="1" a="1"/>
  <c r="F290" i="1"/>
  <c r="F291" i="1" a="1"/>
  <c r="F291" i="1" s="1"/>
  <c r="F292" i="1" a="1"/>
  <c r="F292" i="1"/>
  <c r="F293" i="1" a="1"/>
  <c r="F293" i="1"/>
  <c r="F294" i="1" a="1"/>
  <c r="F294" i="1"/>
  <c r="F295" i="1" a="1"/>
  <c r="F295" i="1"/>
  <c r="F296" i="1" a="1"/>
  <c r="F296" i="1"/>
  <c r="F297" i="1" a="1"/>
  <c r="F297" i="1" s="1"/>
  <c r="F298" i="1" a="1"/>
  <c r="F298" i="1"/>
  <c r="F299" i="1" a="1"/>
  <c r="F299" i="1"/>
  <c r="F300" i="1" a="1"/>
  <c r="F300" i="1"/>
  <c r="F301" i="1" a="1"/>
  <c r="F301" i="1"/>
  <c r="F302" i="1" a="1"/>
  <c r="F302" i="1"/>
  <c r="F303" i="1" a="1"/>
  <c r="F303" i="1" s="1"/>
  <c r="F304" i="1" a="1"/>
  <c r="F304" i="1"/>
  <c r="F305" i="1" a="1"/>
  <c r="F305" i="1"/>
  <c r="F306" i="1" a="1"/>
  <c r="F306" i="1"/>
  <c r="F307" i="1" a="1"/>
  <c r="F307" i="1"/>
  <c r="F308" i="1" a="1"/>
  <c r="F308" i="1"/>
  <c r="F309" i="1" a="1"/>
  <c r="F309" i="1" s="1"/>
  <c r="F310" i="1" a="1"/>
  <c r="F310" i="1"/>
  <c r="F311" i="1" a="1"/>
  <c r="F311" i="1" s="1"/>
  <c r="F312" i="1" a="1"/>
  <c r="F312" i="1"/>
  <c r="F313" i="1" a="1"/>
  <c r="F313" i="1"/>
  <c r="F314" i="1" a="1"/>
  <c r="F314" i="1"/>
  <c r="F315" i="1" a="1"/>
  <c r="F315" i="1" s="1"/>
  <c r="F316" i="1" a="1"/>
  <c r="F316" i="1"/>
  <c r="F317" i="1" a="1"/>
  <c r="F317" i="1" s="1"/>
  <c r="F318" i="1" a="1"/>
  <c r="F318" i="1"/>
  <c r="F319" i="1" a="1"/>
  <c r="F319" i="1"/>
  <c r="F320" i="1" a="1"/>
  <c r="F320" i="1"/>
  <c r="F321" i="1" a="1"/>
  <c r="F321" i="1" s="1"/>
  <c r="F322" i="1" a="1"/>
  <c r="F322" i="1"/>
  <c r="F323" i="1" a="1"/>
  <c r="F323" i="1"/>
  <c r="F324" i="1" a="1"/>
  <c r="F324" i="1" s="1"/>
  <c r="F325" i="1" a="1"/>
  <c r="F325" i="1"/>
  <c r="F326" i="1" a="1"/>
  <c r="F326" i="1"/>
  <c r="F327" i="1" a="1"/>
  <c r="F327" i="1" s="1"/>
  <c r="F328" i="1" a="1"/>
  <c r="F328" i="1"/>
  <c r="F329" i="1" a="1"/>
  <c r="F329" i="1"/>
  <c r="F330" i="1" a="1"/>
  <c r="F330" i="1" s="1"/>
  <c r="F331" i="1" a="1"/>
  <c r="F331" i="1"/>
  <c r="F332" i="1" a="1"/>
  <c r="F332" i="1"/>
  <c r="F333" i="1" a="1"/>
  <c r="F333" i="1" s="1"/>
  <c r="F334" i="1" a="1"/>
  <c r="F334" i="1"/>
  <c r="F335" i="1" a="1"/>
  <c r="F335" i="1"/>
  <c r="F336" i="1" a="1"/>
  <c r="F336" i="1"/>
  <c r="F337" i="1" a="1"/>
  <c r="F337" i="1" s="1"/>
  <c r="F338" i="1" a="1"/>
  <c r="F338" i="1"/>
  <c r="F339" i="1" a="1"/>
  <c r="F339" i="1" s="1"/>
  <c r="F340" i="1" a="1"/>
  <c r="F340" i="1"/>
  <c r="F341" i="1" a="1"/>
  <c r="F341" i="1"/>
  <c r="F342" i="1" a="1"/>
  <c r="F342" i="1"/>
  <c r="F343" i="1" a="1"/>
  <c r="F343" i="1" s="1"/>
  <c r="F344" i="1" a="1"/>
  <c r="F344" i="1"/>
  <c r="F345" i="1" a="1"/>
  <c r="F345" i="1" s="1"/>
  <c r="F346" i="1" a="1"/>
  <c r="F346" i="1"/>
  <c r="F347" i="1" a="1"/>
  <c r="F347" i="1"/>
  <c r="F348" i="1" a="1"/>
  <c r="F348" i="1"/>
  <c r="F349" i="1" a="1"/>
  <c r="F349" i="1"/>
  <c r="F350" i="1" a="1"/>
  <c r="F350" i="1" s="1"/>
  <c r="F351" i="1" a="1"/>
  <c r="F351" i="1" s="1"/>
  <c r="F352" i="1" a="1"/>
  <c r="F352" i="1"/>
  <c r="F353" i="1" a="1"/>
  <c r="F353" i="1"/>
  <c r="F354" i="1" a="1"/>
  <c r="F354" i="1"/>
  <c r="F355" i="1" a="1"/>
  <c r="F355" i="1"/>
  <c r="F356" i="1" a="1"/>
  <c r="F356" i="1" s="1"/>
  <c r="F357" i="1" a="1"/>
  <c r="F357" i="1" s="1"/>
  <c r="F358" i="1" a="1"/>
  <c r="F358" i="1"/>
  <c r="F359" i="1" a="1"/>
  <c r="F359" i="1"/>
  <c r="F360" i="1" a="1"/>
  <c r="F360" i="1"/>
  <c r="F361" i="1" a="1"/>
  <c r="F361" i="1"/>
  <c r="F362" i="1" a="1"/>
  <c r="F362" i="1"/>
  <c r="F363" i="1" a="1"/>
  <c r="F363" i="1" s="1"/>
  <c r="F364" i="1" a="1"/>
  <c r="F364" i="1"/>
  <c r="F365" i="1" a="1"/>
  <c r="F365" i="1"/>
  <c r="F366" i="1" a="1"/>
  <c r="F366" i="1"/>
  <c r="F367" i="1" a="1"/>
  <c r="F367" i="1"/>
  <c r="F368" i="1" a="1"/>
  <c r="F368" i="1"/>
  <c r="F369" i="1" a="1"/>
  <c r="F369" i="1" s="1"/>
  <c r="F370" i="1" a="1"/>
  <c r="F370" i="1"/>
  <c r="F371" i="1" a="1"/>
  <c r="F371" i="1"/>
  <c r="F372" i="1" a="1"/>
  <c r="F372" i="1"/>
  <c r="F373" i="1" a="1"/>
  <c r="F373" i="1"/>
  <c r="F374" i="1" a="1"/>
  <c r="F374" i="1"/>
  <c r="F375" i="1" a="1"/>
  <c r="F375" i="1" s="1"/>
  <c r="F376" i="1" a="1"/>
  <c r="F376" i="1"/>
  <c r="F377" i="1" a="1"/>
  <c r="F377" i="1"/>
  <c r="F378" i="1" a="1"/>
  <c r="F378" i="1"/>
  <c r="F379" i="1" a="1"/>
  <c r="F379" i="1"/>
  <c r="F380" i="1" a="1"/>
  <c r="F380" i="1"/>
  <c r="F381" i="1" a="1"/>
  <c r="F381" i="1" s="1"/>
  <c r="F382" i="1" a="1"/>
  <c r="F382" i="1"/>
  <c r="F383" i="1" a="1"/>
  <c r="F383" i="1" s="1"/>
  <c r="F384" i="1" a="1"/>
  <c r="F384" i="1"/>
  <c r="F385" i="1" a="1"/>
  <c r="F385" i="1"/>
  <c r="F386" i="1" a="1"/>
  <c r="F386" i="1"/>
  <c r="F387" i="1" a="1"/>
  <c r="F387" i="1" s="1"/>
  <c r="F388" i="1" a="1"/>
  <c r="F388" i="1"/>
  <c r="F389" i="1" a="1"/>
  <c r="F389" i="1" s="1"/>
  <c r="F390" i="1" a="1"/>
  <c r="F390" i="1"/>
  <c r="F391" i="1" a="1"/>
  <c r="F391" i="1"/>
  <c r="F392" i="1" a="1"/>
  <c r="F392" i="1"/>
  <c r="F393" i="1" a="1"/>
  <c r="F393" i="1" s="1"/>
  <c r="F394" i="1" a="1"/>
  <c r="F394" i="1"/>
  <c r="F395" i="1" a="1"/>
  <c r="F395" i="1"/>
  <c r="F396" i="1" a="1"/>
  <c r="F396" i="1" s="1"/>
  <c r="F397" i="1" a="1"/>
  <c r="F397" i="1"/>
  <c r="F398" i="1" a="1"/>
  <c r="F398" i="1"/>
  <c r="F399" i="1" a="1"/>
  <c r="F399" i="1" s="1"/>
  <c r="F400" i="1" a="1"/>
  <c r="F400" i="1"/>
  <c r="F401" i="1" a="1"/>
  <c r="F401" i="1"/>
  <c r="F402" i="1" a="1"/>
  <c r="F402" i="1" s="1"/>
  <c r="F403" i="1" a="1"/>
  <c r="F403" i="1"/>
  <c r="F404" i="1" a="1"/>
  <c r="F404" i="1"/>
  <c r="F405" i="1" a="1"/>
  <c r="F405" i="1" s="1"/>
  <c r="F406" i="1" a="1"/>
  <c r="F406" i="1"/>
  <c r="F407" i="1" a="1"/>
  <c r="F407" i="1"/>
  <c r="F408" i="1" a="1"/>
  <c r="F408" i="1"/>
  <c r="F409" i="1" a="1"/>
  <c r="F409" i="1" s="1"/>
  <c r="F410" i="1" a="1"/>
  <c r="F410" i="1"/>
  <c r="F411" i="1" a="1"/>
  <c r="F411" i="1" s="1"/>
  <c r="F412" i="1" a="1"/>
  <c r="F412" i="1"/>
  <c r="F413" i="1" a="1"/>
  <c r="F413" i="1"/>
  <c r="F414" i="1" a="1"/>
  <c r="F414" i="1"/>
  <c r="F415" i="1" a="1"/>
  <c r="F415" i="1" s="1"/>
  <c r="F416" i="1" a="1"/>
  <c r="F416" i="1"/>
  <c r="F417" i="1" a="1"/>
  <c r="F417" i="1" s="1"/>
  <c r="F418" i="1" a="1"/>
  <c r="F418" i="1"/>
  <c r="F419" i="1" a="1"/>
  <c r="F419" i="1"/>
  <c r="F420" i="1" a="1"/>
  <c r="F420" i="1"/>
  <c r="F421" i="1" a="1"/>
  <c r="F421" i="1"/>
  <c r="F422" i="1" a="1"/>
  <c r="F422" i="1" s="1"/>
  <c r="F423" i="1" a="1"/>
  <c r="F423" i="1" s="1"/>
  <c r="F424" i="1" a="1"/>
  <c r="F424" i="1"/>
  <c r="F425" i="1" a="1"/>
  <c r="F425" i="1"/>
  <c r="F426" i="1" a="1"/>
  <c r="F426" i="1"/>
  <c r="F427" i="1" a="1"/>
  <c r="F427" i="1"/>
  <c r="F428" i="1" a="1"/>
  <c r="F428" i="1" s="1"/>
  <c r="F429" i="1" a="1"/>
  <c r="F429" i="1" s="1"/>
  <c r="F430" i="1" a="1"/>
  <c r="F430" i="1"/>
  <c r="F431" i="1" a="1"/>
  <c r="F431" i="1"/>
  <c r="F432" i="1" a="1"/>
  <c r="F432" i="1"/>
  <c r="F433" i="1" a="1"/>
  <c r="F433" i="1"/>
  <c r="F434" i="1" a="1"/>
  <c r="F434" i="1"/>
  <c r="F435" i="1" a="1"/>
  <c r="F435" i="1" s="1"/>
  <c r="F436" i="1" a="1"/>
  <c r="F436" i="1"/>
  <c r="F437" i="1" a="1"/>
  <c r="F437" i="1"/>
  <c r="F438" i="1" a="1"/>
  <c r="F438" i="1"/>
  <c r="F439" i="1" a="1"/>
  <c r="F439" i="1"/>
  <c r="F440" i="1" a="1"/>
  <c r="F440" i="1"/>
  <c r="F441" i="1" a="1"/>
  <c r="F441" i="1" s="1"/>
  <c r="F442" i="1" a="1"/>
  <c r="F442" i="1"/>
  <c r="F443" i="1" a="1"/>
  <c r="F443" i="1"/>
  <c r="F444" i="1" a="1"/>
  <c r="F444" i="1"/>
  <c r="F445" i="1" a="1"/>
  <c r="F445" i="1"/>
  <c r="F446" i="1" a="1"/>
  <c r="F446" i="1"/>
  <c r="F447" i="1" a="1"/>
  <c r="F447" i="1" s="1"/>
  <c r="F448" i="1" a="1"/>
  <c r="F448" i="1"/>
  <c r="F449" i="1" a="1"/>
  <c r="F449" i="1"/>
  <c r="F450" i="1" a="1"/>
  <c r="F450" i="1"/>
  <c r="F451" i="1" a="1"/>
  <c r="F451" i="1"/>
  <c r="F452" i="1" a="1"/>
  <c r="F452" i="1"/>
  <c r="F453" i="1" a="1"/>
  <c r="F453" i="1" s="1"/>
  <c r="F454" i="1" a="1"/>
  <c r="F454" i="1"/>
  <c r="F455" i="1" a="1"/>
  <c r="F455" i="1" s="1"/>
  <c r="F456" i="1" a="1"/>
  <c r="F456" i="1"/>
  <c r="F457" i="1" a="1"/>
  <c r="F457" i="1"/>
  <c r="F458" i="1" a="1"/>
  <c r="F458" i="1"/>
  <c r="F459" i="1" a="1"/>
  <c r="F459" i="1" s="1"/>
  <c r="F460" i="1" a="1"/>
  <c r="F460" i="1"/>
  <c r="F461" i="1" a="1"/>
  <c r="F461" i="1" s="1"/>
  <c r="F462" i="1" a="1"/>
  <c r="F462" i="1"/>
  <c r="F463" i="1" a="1"/>
  <c r="F463" i="1"/>
  <c r="F464" i="1" a="1"/>
  <c r="F464" i="1"/>
  <c r="F465" i="1" a="1"/>
  <c r="F465" i="1" s="1"/>
  <c r="F466" i="1" a="1"/>
  <c r="F466" i="1"/>
  <c r="F467" i="1" a="1"/>
  <c r="F467" i="1"/>
  <c r="F468" i="1" a="1"/>
  <c r="F468" i="1" s="1"/>
  <c r="F469" i="1" a="1"/>
  <c r="F469" i="1"/>
  <c r="F470" i="1" a="1"/>
  <c r="F470" i="1"/>
  <c r="F471" i="1" a="1"/>
  <c r="F471" i="1" s="1"/>
  <c r="F472" i="1" a="1"/>
  <c r="F472" i="1"/>
  <c r="F473" i="1" a="1"/>
  <c r="F473" i="1"/>
  <c r="F474" i="1" a="1"/>
  <c r="F474" i="1" s="1"/>
  <c r="F475" i="1" a="1"/>
  <c r="F475" i="1"/>
  <c r="F476" i="1" a="1"/>
  <c r="F476" i="1"/>
  <c r="F477" i="1" a="1"/>
  <c r="F477" i="1" s="1"/>
  <c r="F478" i="1" a="1"/>
  <c r="F478" i="1"/>
  <c r="F479" i="1" a="1"/>
  <c r="F479" i="1"/>
  <c r="F480" i="1" a="1"/>
  <c r="F480" i="1"/>
  <c r="F481" i="1" a="1"/>
  <c r="F481" i="1" s="1"/>
  <c r="F482" i="1" a="1"/>
  <c r="F482" i="1"/>
  <c r="F483" i="1" a="1"/>
  <c r="F483" i="1" s="1"/>
  <c r="F484" i="1" a="1"/>
  <c r="F484" i="1"/>
  <c r="F485" i="1" a="1"/>
  <c r="F485" i="1"/>
  <c r="F486" i="1" a="1"/>
  <c r="F486" i="1"/>
  <c r="F487" i="1" a="1"/>
  <c r="F487" i="1" s="1"/>
  <c r="F488" i="1" a="1"/>
  <c r="F488" i="1"/>
  <c r="F489" i="1" a="1"/>
  <c r="F489" i="1" s="1"/>
  <c r="F490" i="1" a="1"/>
  <c r="F490" i="1"/>
  <c r="F491" i="1" a="1"/>
  <c r="F491" i="1"/>
  <c r="F492" i="1" a="1"/>
  <c r="F492" i="1"/>
  <c r="F493" i="1" a="1"/>
  <c r="F493" i="1"/>
  <c r="F494" i="1" a="1"/>
  <c r="F494" i="1" s="1"/>
  <c r="F495" i="1" a="1"/>
  <c r="F495" i="1" s="1"/>
  <c r="F496" i="1" a="1"/>
  <c r="F496" i="1"/>
  <c r="F497" i="1" a="1"/>
  <c r="F497" i="1"/>
  <c r="F498" i="1" a="1"/>
  <c r="F498" i="1"/>
  <c r="F499" i="1" a="1"/>
  <c r="F499" i="1"/>
  <c r="F500" i="1" a="1"/>
  <c r="F500" i="1" s="1"/>
  <c r="F501" i="1" a="1"/>
  <c r="F501" i="1" s="1"/>
  <c r="F502" i="1" a="1"/>
  <c r="F502" i="1" s="1"/>
  <c r="F503" i="1" a="1"/>
  <c r="F503" i="1"/>
  <c r="F504" i="1" a="1"/>
  <c r="F504" i="1"/>
  <c r="F505" i="1" a="1"/>
  <c r="F505" i="1"/>
  <c r="F2" i="1" a="1"/>
  <c r="F2" i="1" s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<sst xmlns="http://schemas.openxmlformats.org/spreadsheetml/2006/main" count="1027" uniqueCount="32">
  <si>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</si>
  <si>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</si>
  <si>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</si>
  <si>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</si>
  <si>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</si>
  <si>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</si>
  <si>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</si>
  <si>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</si>
  <si>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</si>
  <si>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</si>
  <si>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</si>
  <si>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</si>
  <si>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</si>
  <si>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</si>
  <si>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</si>
  <si>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</si>
  <si>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</si>
  <si>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</si>
  <si>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</si>
  <si>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</si>
  <si>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</si>
  <si>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</si>
  <si>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</si>
  <si>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</si>
  <si>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</si>
  <si>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</si>
  <si>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</si>
  <si>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Названия строк</t>
  </si>
  <si>
    <t>Общий итог</t>
  </si>
  <si>
    <t>Сумма по полю Товарооборот, руб</t>
  </si>
  <si>
    <t>Сумма по полю Количество заказов</t>
  </si>
  <si>
    <t>Среднее по полю Товарооборот на склад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</si>
</sst>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  <family val="2"/>
      <charset val="204"/>
    </font>
    <font>
      <b/>
      <sz val="11"/>
      <color theme="0"/>
      <name val="Calibri"/>
      <family val="2"/>
      <charset val="204"/>
    </font>
    <font>
      <b/>
      <sz val="11"/>
      <color theme="0"/>
      <name val="Calibri"/>
      <family val="2"/>
      <charset val="204"/>
      <scheme val="major"/>
    </font>
    <font>
      <sz val="11"/>
      <color theme="1"/>
      <name val="Calibri"/>
      <family val="2"/>
      <charset val="204"/>
      <scheme val="maj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8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164" fontId="3" fillId="3" borderId="1" xfId="0" applyNumberFormat="1" applyFont="1" applyFill="1" applyBorder="1"/>
    <xf numFmtId="0" fontId="3" fillId="3" borderId="2" xfId="0" applyFont="1" applyFill="1" applyBorder="1"/>
    <xf numFmtId="0" fontId="4" fillId="0" borderId="0" xfId="0" applyFont="1"/>
    <xf numFmtId="164" fontId="3" fillId="0" borderId="4" xfId="0" applyNumberFormat="1" applyFont="1" applyBorder="1"/>
    <xf numFmtId="0" fontId="3" fillId="0" borderId="5" xfId="0" applyFont="1" applyBorder="1"/>
    <xf numFmtId="164" fontId="3" fillId="0" borderId="6" xfId="0" applyNumberFormat="1" applyFont="1" applyBorder="1"/>
    <xf numFmtId="0" fontId="3" fillId="0" borderId="7" xfId="0" applyFont="1" applyBorder="1"/>
    <xf numFmtId="164" fontId="3" fillId="0" borderId="0" xfId="0" applyNumberFormat="1" applyFont="1"/>
    <xf numFmtId="0" fontId="6" fillId="2" borderId="3" xfId="0" applyFont="1" applyFill="1" applyBorder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vertical="center"/>
    </xf>
    <xf numFmtId="0" fontId="1" fillId="0" borderId="0" xfId="0" applyFont="1"/>
    <xf numFmtId="0" fontId="7" fillId="2" borderId="3" xfId="0" applyFont="1" applyFill="1" applyBorder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 Аналитик .xlsx]Сводная таблица!Сводная таблица4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B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B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B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'Сводная таблица'!$B$3</c:f>
              <c:strCache>
                <c:ptCount val="1"/>
                <c:pt idx="0">
                  <c:v>Сумма по полю Товарооборот, руб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'Сводная таблица'!$A$4:$A$10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'Сводная таблица'!$B$4:$B$10</c:f>
              <c:numCache>
                <c:formatCode>General</c:formatCode>
                <c:ptCount val="6"/>
                <c:pt idx="0">
                  <c:v>836803032</c:v>
                </c:pt>
                <c:pt idx="1">
                  <c:v>983915409.85664999</c:v>
                </c:pt>
                <c:pt idx="2">
                  <c:v>947263006.72395003</c:v>
                </c:pt>
                <c:pt idx="3">
                  <c:v>1002691883.0466</c:v>
                </c:pt>
                <c:pt idx="4">
                  <c:v>1055653508.75385</c:v>
                </c:pt>
                <c:pt idx="5">
                  <c:v>136032376.68134999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8A-48AB-B35B-9820B00330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66839023"/>
        <c:axId val="1066834223"/>
      </c:barChart>
      <c:lineChart>
        <c:grouping val="standard"/>
        <c:varyColors val="0"/>
        <c:ser>
          <c:idx val="2"/>
          <c:order val="2"/>
          <c:tx>
            <c:strRef>
              <c:f>'Сводная таблица'!$D$3</c:f>
              <c:strCache>
                <c:ptCount val="1"/>
                <c:pt idx="0">
                  <c:v>Сумма по полю Количество заказов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'Сводная таблица'!$A$4:$A$10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'Сводная таблица'!$D$4:$D$10</c:f>
              <c:numCache>
                <c:formatCode>General</c:formatCode>
                <c:ptCount val="6"/>
                <c:pt idx="0">
                  <c:v>492875</c:v>
                </c:pt>
                <c:pt idx="1">
                  <c:v>580676</c:v>
                </c:pt>
                <c:pt idx="2">
                  <c:v>567181</c:v>
                </c:pt>
                <c:pt idx="3">
                  <c:v>618997</c:v>
                </c:pt>
                <c:pt idx="4">
                  <c:v>644177</c:v>
                </c:pt>
                <c:pt idx="5">
                  <c:v>84864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8A-48AB-B35B-9820B00330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6839023"/>
        <c:axId val="1066834223"/>
      </c:lineChart>
      <c:lineChart>
        <c:grouping val="standard"/>
        <c:varyColors val="0"/>
        <c:ser>
          <c:idx val="1"/>
          <c:order val="1"/>
          <c:tx>
            <c:strRef>
              <c:f>'Сводная таблица'!$C$3</c:f>
              <c:strCache>
                <c:ptCount val="1"/>
                <c:pt idx="0">
                  <c:v>Среднее по полю Товарооборот на склад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'Сводная таблица'!$A$4:$A$10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'Сводная таблица'!$C$4:$C$10</c:f>
              <c:numCache>
                <c:formatCode>General</c:formatCode>
                <c:ptCount val="6"/>
                <c:pt idx="0">
                  <c:v>1903.9287983725283</c:v>
                </c:pt>
                <c:pt idx="1">
                  <c:v>1902.2235678655722</c:v>
                </c:pt>
                <c:pt idx="2">
                  <c:v>1905.7724737317153</c:v>
                </c:pt>
                <c:pt idx="3">
                  <c:v>2096.6340288233764</c:v>
                </c:pt>
                <c:pt idx="4">
                  <c:v>1983.3505902202344</c:v>
                </c:pt>
                <c:pt idx="5">
                  <c:v>1620.0541610468135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8A-48AB-B35B-9820B00330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6845263"/>
        <c:axId val="1066828463"/>
      </c:lineChart>
      <c:catAx>
        <c:axId val="1066839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066834223"/>
        <c:crosses val="autoZero"/>
        <c:auto val="1"/>
        <c:lblAlgn val="ctr"/>
        <c:lblOffset val="100"/>
        <c:noMultiLvlLbl val="0"/>
      </c:catAx>
      <c:valAx>
        <c:axId val="1066834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066839023"/>
        <c:crosses val="autoZero"/>
        <c:crossBetween val="between"/>
      </c:valAx>
      <c:valAx>
        <c:axId val="106682846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066845263"/>
        <c:crosses val="max"/>
        <c:crossBetween val="between"/>
      </c:valAx>
      <c:catAx>
        <c:axId val="10668452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6682846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259080</xdr:colOff>
      <xdr:row>11</xdr:row>
      <xdr:rowOff>95250</xdr:rowOff>
    </xdr:from>
    <xdr:to>
      <xdr:col>2</xdr:col>
      <xdr:colOff>1417320</xdr:colOff>
      <xdr:row>26</xdr:row>
      <xdr:rowOff>95250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1C39061-6C29-DC60-E330-260A90A362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Приветствую" refreshedDate="46143.666334374997" createdVersion="8" refreshedVersion="8" minRefreshableVersion="3" recordCount="504" xr:uid="{AC412DF1-3DBD-4050-8160-1BB9650A07F7}">
  <cacheSource type="worksheet">
    <worksheetSource ref="A1:I505" sheet="Лист1"/>
  </cacheSource>
  <cacheFields count="9">
    <cacheField name="Дата" numFmtId="164">
      <sharedItems containsSemiMixedTypes="0" containsNonDate="0" containsDate="1" containsString="0" minDate="2020-04-28T00:00:00" maxDate="2020-06-02T00:00:00"/>
    </cacheField>
    <cacheField name="Неделя" numFmtId="0">
      <sharedItems containsSemiMixedTypes="0" containsString="0" containsNumber="1" containsInteger="1" minValue="18" maxValue="23" count="6">
        <n v="22"/>
        <n v="20"/>
        <n v="21"/>
        <n v="19"/>
        <n v="18"/>
        <n v="23"/>
      </sharedItems>
    </cacheField>
    <cacheField name="Территория" numFmtId="0">
      <sharedItems count="18"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/>
    </cacheField>
    <cacheField name="Количество складов" numFmtId="0">
      <sharedItems containsSemiMixedTypes="0" containsString="0" containsNumber="1" containsInteger="1" minValue="6" maxValue="129"/>
    </cacheField>
    <cacheField name="Количество заказов" numFmtId="0">
      <sharedItems containsSemiMixedTypes="0" containsString="0" containsNumber="1" containsInteger="1" minValue="237" maxValue="25828"/>
    </cacheField>
    <cacheField name="Количество клиентов" numFmtId="0">
      <sharedItems containsSemiMixedTypes="0" containsString="0" containsNumber="1" containsInteger="1" minValue="175" maxValue="23974"/>
    </cacheField>
    <cacheField name="Товарооборот на склад" numFmtId="0">
      <sharedItems containsSemiMixedTypes="0" containsString="0" containsNumber="1" minValue="285.7" maxValue="5107.27777777777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d v="2020-05-31T00:00:00"/>
    <x v="0"/>
    <x v="0"/>
    <n v="7944"/>
    <n v="623971.5"/>
    <n v="15"/>
    <n v="441"/>
    <n v="368"/>
    <n v="529.6"/>
  </r>
  <r>
    <d v="2020-05-30T00:00:00"/>
    <x v="0"/>
    <x v="0"/>
    <n v="10029"/>
    <n v="787101"/>
    <n v="15"/>
    <n v="490"/>
    <n v="409"/>
    <n v="668.6"/>
  </r>
  <r>
    <d v="2020-05-28T00:00:00"/>
    <x v="0"/>
    <x v="0"/>
    <n v="8536.5"/>
    <n v="643944"/>
    <n v="15"/>
    <n v="464"/>
    <n v="390"/>
    <n v="569.1"/>
  </r>
  <r>
    <d v="2020-05-16T00:00:00"/>
    <x v="1"/>
    <x v="1"/>
    <n v="38947.5"/>
    <n v="3395892"/>
    <n v="21"/>
    <n v="2145"/>
    <n v="1947"/>
    <n v="1854.6428571428571"/>
  </r>
  <r>
    <d v="2020-05-19T00:00:00"/>
    <x v="2"/>
    <x v="1"/>
    <n v="31842"/>
    <n v="2771116.5"/>
    <n v="21"/>
    <n v="1860"/>
    <n v="1704"/>
    <n v="1516.2857142857142"/>
  </r>
  <r>
    <d v="2020-05-17T00:00:00"/>
    <x v="1"/>
    <x v="1"/>
    <n v="32023.5"/>
    <n v="2882458.5"/>
    <n v="21"/>
    <n v="1874"/>
    <n v="1705"/>
    <n v="1524.9285714285713"/>
  </r>
  <r>
    <d v="2020-05-09T00:00:00"/>
    <x v="3"/>
    <x v="1"/>
    <n v="31147.5"/>
    <n v="2831019"/>
    <n v="21"/>
    <n v="1735"/>
    <n v="1568"/>
    <n v="1483.2142857142858"/>
  </r>
  <r>
    <d v="2020-05-04T00:00:00"/>
    <x v="3"/>
    <x v="1"/>
    <n v="25566"/>
    <n v="2372310"/>
    <n v="20"/>
    <n v="1519"/>
    <n v="1372"/>
    <n v="1278.3"/>
  </r>
  <r>
    <d v="2020-04-29T00:00:00"/>
    <x v="4"/>
    <x v="1"/>
    <n v="29319"/>
    <n v="2623480.5"/>
    <n v="18"/>
    <n v="1684"/>
    <n v="1528"/>
    <n v="1628.8333333333333"/>
  </r>
  <r>
    <d v="2020-05-02T00:00:00"/>
    <x v="4"/>
    <x v="1"/>
    <n v="29031"/>
    <n v="2711247"/>
    <n v="18"/>
    <n v="1708"/>
    <n v="1534"/>
    <n v="1612.8333333333333"/>
  </r>
  <r>
    <d v="2020-05-26T00:00:00"/>
    <x v="0"/>
    <x v="1"/>
    <n v="33423"/>
    <n v="2970330"/>
    <n v="20"/>
    <n v="2044"/>
    <n v="1863"/>
    <n v="1671.15"/>
  </r>
  <r>
    <d v="2020-05-01T00:00:00"/>
    <x v="4"/>
    <x v="1"/>
    <n v="32487"/>
    <n v="3031254"/>
    <n v="18"/>
    <n v="1826"/>
    <n v="1633"/>
    <n v="1804.8333333333333"/>
  </r>
  <r>
    <d v="2020-05-12T00:00:00"/>
    <x v="1"/>
    <x v="1"/>
    <n v="28219.5"/>
    <n v="2595778.5"/>
    <n v="21"/>
    <n v="1656"/>
    <n v="1516"/>
    <n v="1343.7857142857142"/>
  </r>
  <r>
    <d v="2020-05-21T00:00:00"/>
    <x v="2"/>
    <x v="1"/>
    <n v="31272"/>
    <n v="2744382"/>
    <n v="21"/>
    <n v="1787"/>
    <n v="1626"/>
    <n v="1489.1428571428571"/>
  </r>
  <r>
    <d v="2020-05-20T00:00:00"/>
    <x v="2"/>
    <x v="1"/>
    <n v="34077"/>
    <n v="2929330.5"/>
    <n v="21"/>
    <n v="1921"/>
    <n v="1767"/>
    <n v="1622.7142857142858"/>
  </r>
  <r>
    <d v="2020-05-05T00:00:00"/>
    <x v="3"/>
    <x v="1"/>
    <n v="31566"/>
    <n v="2906763"/>
    <n v="20"/>
    <n v="1773"/>
    <n v="1604"/>
    <n v="1578.3"/>
  </r>
  <r>
    <d v="2020-04-28T00:00:00"/>
    <x v="4"/>
    <x v="1"/>
    <n v="26940"/>
    <n v="2411587.5"/>
    <n v="18"/>
    <n v="1539"/>
    <n v="1404"/>
    <n v="1496.6666666666667"/>
  </r>
  <r>
    <d v="2020-05-13T00:00:00"/>
    <x v="1"/>
    <x v="1"/>
    <n v="29241"/>
    <n v="2629782"/>
    <n v="21"/>
    <n v="1698"/>
    <n v="1554"/>
    <n v="1392.4285714285713"/>
  </r>
  <r>
    <d v="2020-05-03T00:00:00"/>
    <x v="4"/>
    <x v="1"/>
    <n v="26082"/>
    <n v="2434914"/>
    <n v="20"/>
    <n v="1520"/>
    <n v="1373"/>
    <n v="1304.0999999999999"/>
  </r>
  <r>
    <d v="2020-05-06T00:00:00"/>
    <x v="3"/>
    <x v="1"/>
    <n v="32511"/>
    <n v="2938623"/>
    <n v="20"/>
    <n v="1784"/>
    <n v="1632"/>
    <n v="1625.55"/>
  </r>
  <r>
    <d v="2020-05-23T00:00:00"/>
    <x v="2"/>
    <x v="1"/>
    <n v="42703.5"/>
    <n v="3628726.5"/>
    <n v="21"/>
    <n v="2340"/>
    <n v="2146"/>
    <n v="2033.5"/>
  </r>
  <r>
    <d v="2020-05-25T00:00:00"/>
    <x v="0"/>
    <x v="1"/>
    <n v="35592"/>
    <n v="3176580"/>
    <n v="20"/>
    <n v="2087"/>
    <n v="1914"/>
    <n v="1779.6"/>
  </r>
  <r>
    <d v="2020-04-30T00:00:00"/>
    <x v="4"/>
    <x v="1"/>
    <n v="30445.5"/>
    <n v="2817196.5"/>
    <n v="19"/>
    <n v="1712"/>
    <n v="1552"/>
    <n v="1602.3947368421052"/>
  </r>
  <r>
    <d v="2020-05-10T00:00:00"/>
    <x v="3"/>
    <x v="1"/>
    <n v="36619.5"/>
    <n v="3312967.5"/>
    <n v="21"/>
    <n v="2016"/>
    <n v="1846"/>
    <n v="1743.7857142857142"/>
  </r>
  <r>
    <d v="2020-05-08T00:00:00"/>
    <x v="3"/>
    <x v="1"/>
    <n v="29409"/>
    <n v="2645160"/>
    <n v="21"/>
    <n v="1646"/>
    <n v="1492"/>
    <n v="1400.4285714285713"/>
  </r>
  <r>
    <d v="2020-05-07T00:00:00"/>
    <x v="3"/>
    <x v="1"/>
    <n v="27018"/>
    <n v="2472213"/>
    <n v="21"/>
    <n v="1542"/>
    <n v="1405"/>
    <n v="1286.5714285714287"/>
  </r>
  <r>
    <d v="2020-05-24T00:00:00"/>
    <x v="2"/>
    <x v="1"/>
    <n v="34303.5"/>
    <n v="2924746.5"/>
    <n v="20"/>
    <n v="1999"/>
    <n v="1829"/>
    <n v="1715.175"/>
  </r>
  <r>
    <d v="2020-05-31T00:00:00"/>
    <x v="0"/>
    <x v="1"/>
    <n v="36999"/>
    <n v="3473895"/>
    <n v="21"/>
    <n v="2271"/>
    <n v="2085"/>
    <n v="1761.8571428571429"/>
  </r>
  <r>
    <d v="2020-05-30T00:00:00"/>
    <x v="0"/>
    <x v="1"/>
    <n v="44001"/>
    <n v="3921784.5"/>
    <n v="20"/>
    <n v="2597"/>
    <n v="2376"/>
    <n v="2200.0500000000002"/>
  </r>
  <r>
    <d v="2020-05-28T00:00:00"/>
    <x v="0"/>
    <x v="1"/>
    <n v="30982.5"/>
    <n v="2827773"/>
    <n v="20"/>
    <n v="1886"/>
    <n v="1736"/>
    <n v="1549.125"/>
  </r>
  <r>
    <d v="2020-05-16T00:00:00"/>
    <x v="1"/>
    <x v="2"/>
    <n v="88063.5"/>
    <n v="7583758.5"/>
    <n v="31"/>
    <n v="5593"/>
    <n v="5177"/>
    <n v="2840.7580645161293"/>
  </r>
  <r>
    <d v="2020-05-19T00:00:00"/>
    <x v="2"/>
    <x v="2"/>
    <n v="84024"/>
    <n v="6815511"/>
    <n v="31"/>
    <n v="5389"/>
    <n v="5024"/>
    <n v="2710.4516129032259"/>
  </r>
  <r>
    <d v="2020-05-17T00:00:00"/>
    <x v="1"/>
    <x v="2"/>
    <n v="78057"/>
    <n v="6774946.5"/>
    <n v="31"/>
    <n v="5206"/>
    <n v="4843"/>
    <n v="2517.9677419354839"/>
  </r>
  <r>
    <d v="2020-05-09T00:00:00"/>
    <x v="3"/>
    <x v="2"/>
    <n v="69720"/>
    <n v="6264933"/>
    <n v="31"/>
    <n v="4556"/>
    <n v="4220"/>
    <n v="2249.0322580645161"/>
  </r>
  <r>
    <d v="2020-05-04T00:00:00"/>
    <x v="3"/>
    <x v="2"/>
    <n v="72928.5"/>
    <n v="6642249"/>
    <n v="31"/>
    <n v="4968"/>
    <n v="4596"/>
    <n v="2352.5322580645161"/>
  </r>
  <r>
    <d v="2020-04-29T00:00:00"/>
    <x v="4"/>
    <x v="2"/>
    <n v="79527"/>
    <n v="7180498.5"/>
    <n v="31"/>
    <n v="5378"/>
    <n v="4985"/>
    <n v="2565.3870967741937"/>
  </r>
  <r>
    <d v="2020-05-02T00:00:00"/>
    <x v="4"/>
    <x v="2"/>
    <n v="60463.5"/>
    <n v="5554192.5"/>
    <n v="31"/>
    <n v="4157"/>
    <n v="3823"/>
    <n v="1950.4354838709678"/>
  </r>
  <r>
    <d v="2020-05-26T00:00:00"/>
    <x v="0"/>
    <x v="2"/>
    <n v="79975.5"/>
    <n v="6676459.5"/>
    <n v="31"/>
    <n v="5493"/>
    <n v="5119"/>
    <n v="2579.8548387096776"/>
  </r>
  <r>
    <d v="2020-05-01T00:00:00"/>
    <x v="4"/>
    <x v="2"/>
    <n v="97534.5"/>
    <n v="8893024.5"/>
    <n v="31"/>
    <n v="6118"/>
    <n v="5564"/>
    <n v="3146.2741935483873"/>
  </r>
  <r>
    <d v="2020-05-12T00:00:00"/>
    <x v="1"/>
    <x v="2"/>
    <n v="71520"/>
    <n v="6398361"/>
    <n v="31"/>
    <n v="4800"/>
    <n v="4470"/>
    <n v="2307.0967741935483"/>
  </r>
  <r>
    <d v="2020-05-21T00:00:00"/>
    <x v="2"/>
    <x v="2"/>
    <n v="79485"/>
    <n v="6633847.5"/>
    <n v="31"/>
    <n v="5207"/>
    <n v="4868"/>
    <n v="2564.0322580645161"/>
  </r>
  <r>
    <d v="2020-05-20T00:00:00"/>
    <x v="2"/>
    <x v="2"/>
    <n v="93313.5"/>
    <n v="7247575.5"/>
    <n v="31"/>
    <n v="5698"/>
    <n v="5258"/>
    <n v="3010.1129032258063"/>
  </r>
  <r>
    <d v="2020-05-05T00:00:00"/>
    <x v="3"/>
    <x v="2"/>
    <n v="76585.5"/>
    <n v="6921316.5"/>
    <n v="31"/>
    <n v="5188"/>
    <n v="4800"/>
    <n v="2470.5"/>
  </r>
  <r>
    <d v="2020-04-28T00:00:00"/>
    <x v="4"/>
    <x v="2"/>
    <n v="81826.5"/>
    <n v="7163644.5"/>
    <n v="31"/>
    <n v="5465"/>
    <n v="5096"/>
    <n v="2639.5645161290322"/>
  </r>
  <r>
    <d v="2020-05-13T00:00:00"/>
    <x v="1"/>
    <x v="2"/>
    <n v="78846"/>
    <n v="6993952.5"/>
    <n v="31"/>
    <n v="5251"/>
    <n v="4853"/>
    <n v="2543.4193548387098"/>
  </r>
  <r>
    <d v="2020-05-03T00:00:00"/>
    <x v="4"/>
    <x v="2"/>
    <n v="77263.5"/>
    <n v="7013670"/>
    <n v="31"/>
    <n v="5155"/>
    <n v="4762"/>
    <n v="2492.3709677419356"/>
  </r>
  <r>
    <d v="2020-05-06T00:00:00"/>
    <x v="3"/>
    <x v="2"/>
    <n v="68994"/>
    <n v="6168657"/>
    <n v="31"/>
    <n v="4709"/>
    <n v="4348"/>
    <n v="2225.6129032258063"/>
  </r>
  <r>
    <d v="2020-05-23T00:00:00"/>
    <x v="2"/>
    <x v="2"/>
    <n v="102889.5"/>
    <n v="8089143"/>
    <n v="31"/>
    <n v="6276"/>
    <n v="5801"/>
    <n v="3319.016129032258"/>
  </r>
  <r>
    <d v="2020-05-25T00:00:00"/>
    <x v="0"/>
    <x v="2"/>
    <n v="76999.5"/>
    <n v="6645603"/>
    <n v="31"/>
    <n v="5210"/>
    <n v="4841"/>
    <n v="2483.8548387096776"/>
  </r>
  <r>
    <d v="2020-04-30T00:00:00"/>
    <x v="4"/>
    <x v="2"/>
    <n v="77565"/>
    <n v="7023727.5"/>
    <n v="31"/>
    <n v="5120"/>
    <n v="4737"/>
    <n v="2502.0967741935483"/>
  </r>
  <r>
    <d v="2020-05-10T00:00:00"/>
    <x v="3"/>
    <x v="2"/>
    <n v="84132"/>
    <n v="7483194"/>
    <n v="31"/>
    <n v="5495"/>
    <n v="5093"/>
    <n v="2713.9354838709678"/>
  </r>
  <r>
    <d v="2020-05-08T00:00:00"/>
    <x v="3"/>
    <x v="2"/>
    <n v="69544.5"/>
    <n v="6293776.5"/>
    <n v="31"/>
    <n v="4635"/>
    <n v="4266"/>
    <n v="2243.3709677419356"/>
  </r>
  <r>
    <d v="2020-05-07T00:00:00"/>
    <x v="3"/>
    <x v="2"/>
    <n v="73204.5"/>
    <n v="6591883.5"/>
    <n v="31"/>
    <n v="4903"/>
    <n v="4527"/>
    <n v="2361.4354838709678"/>
  </r>
  <r>
    <d v="2020-05-24T00:00:00"/>
    <x v="2"/>
    <x v="2"/>
    <n v="76663.5"/>
    <n v="6451032"/>
    <n v="31"/>
    <n v="5035"/>
    <n v="4683"/>
    <n v="2473.016129032258"/>
  </r>
  <r>
    <d v="2020-05-16T00:00:00"/>
    <x v="1"/>
    <x v="3"/>
    <n v="14265"/>
    <n v="1130506.5"/>
    <n v="10"/>
    <n v="760"/>
    <n v="672"/>
    <n v="1426.5"/>
  </r>
  <r>
    <d v="2020-05-19T00:00:00"/>
    <x v="2"/>
    <x v="3"/>
    <n v="11526"/>
    <n v="938764.5"/>
    <n v="10"/>
    <n v="649"/>
    <n v="568"/>
    <n v="1152.5999999999999"/>
  </r>
  <r>
    <d v="2020-05-17T00:00:00"/>
    <x v="1"/>
    <x v="3"/>
    <n v="10402.5"/>
    <n v="843727.5"/>
    <n v="10"/>
    <n v="591"/>
    <n v="513"/>
    <n v="1040.25"/>
  </r>
  <r>
    <d v="2020-05-09T00:00:00"/>
    <x v="3"/>
    <x v="3"/>
    <n v="13216.5"/>
    <n v="1046400"/>
    <n v="10"/>
    <n v="644"/>
    <n v="559"/>
    <n v="1321.65"/>
  </r>
  <r>
    <d v="2020-05-04T00:00:00"/>
    <x v="3"/>
    <x v="3"/>
    <n v="9130.5"/>
    <n v="728890.5"/>
    <n v="10"/>
    <n v="462"/>
    <n v="396"/>
    <n v="913.05"/>
  </r>
  <r>
    <d v="2020-04-29T00:00:00"/>
    <x v="4"/>
    <x v="3"/>
    <n v="10840.5"/>
    <n v="797919"/>
    <n v="10"/>
    <n v="502"/>
    <n v="433"/>
    <n v="1084.05"/>
  </r>
  <r>
    <d v="2020-05-02T00:00:00"/>
    <x v="4"/>
    <x v="3"/>
    <n v="7866"/>
    <n v="617881.5"/>
    <n v="10"/>
    <n v="416"/>
    <n v="341"/>
    <n v="786.6"/>
  </r>
  <r>
    <d v="2020-05-26T00:00:00"/>
    <x v="0"/>
    <x v="3"/>
    <n v="11835"/>
    <n v="983109"/>
    <n v="10"/>
    <n v="692"/>
    <n v="601"/>
    <n v="1183.5"/>
  </r>
  <r>
    <d v="2020-05-01T00:00:00"/>
    <x v="4"/>
    <x v="3"/>
    <n v="11619"/>
    <n v="891139.5"/>
    <n v="10"/>
    <n v="554"/>
    <n v="472"/>
    <n v="1161.9000000000001"/>
  </r>
  <r>
    <d v="2020-05-12T00:00:00"/>
    <x v="1"/>
    <x v="3"/>
    <n v="9328.5"/>
    <n v="732964.5"/>
    <n v="10"/>
    <n v="526"/>
    <n v="448"/>
    <n v="932.85"/>
  </r>
  <r>
    <d v="2020-05-21T00:00:00"/>
    <x v="2"/>
    <x v="3"/>
    <n v="11250"/>
    <n v="935523"/>
    <n v="10"/>
    <n v="677"/>
    <n v="591"/>
    <n v="1125"/>
  </r>
  <r>
    <d v="2020-05-20T00:00:00"/>
    <x v="2"/>
    <x v="3"/>
    <n v="13063.5"/>
    <n v="1037247"/>
    <n v="10"/>
    <n v="745"/>
    <n v="654"/>
    <n v="1306.3499999999999"/>
  </r>
  <r>
    <d v="2020-05-05T00:00:00"/>
    <x v="3"/>
    <x v="3"/>
    <n v="10147.5"/>
    <n v="793320"/>
    <n v="10"/>
    <n v="511"/>
    <n v="437"/>
    <n v="1014.75"/>
  </r>
  <r>
    <d v="2020-04-28T00:00:00"/>
    <x v="4"/>
    <x v="3"/>
    <n v="12331.5"/>
    <n v="869983.5"/>
    <n v="10"/>
    <n v="580"/>
    <n v="506"/>
    <n v="1233.1500000000001"/>
  </r>
  <r>
    <d v="2020-05-13T00:00:00"/>
    <x v="1"/>
    <x v="3"/>
    <n v="11202"/>
    <n v="865714.5"/>
    <n v="10"/>
    <n v="612"/>
    <n v="530"/>
    <n v="1120.2"/>
  </r>
  <r>
    <d v="2020-05-31T00:00:00"/>
    <x v="0"/>
    <x v="2"/>
    <n v="89149.5"/>
    <n v="7512646.5"/>
    <n v="31"/>
    <n v="5760"/>
    <n v="5367"/>
    <n v="2875.7903225806454"/>
  </r>
  <r>
    <d v="2020-05-03T00:00:00"/>
    <x v="4"/>
    <x v="3"/>
    <n v="8185.5"/>
    <n v="637881"/>
    <n v="10"/>
    <n v="402"/>
    <n v="333"/>
    <n v="818.55"/>
  </r>
  <r>
    <d v="2020-05-30T00:00:00"/>
    <x v="0"/>
    <x v="2"/>
    <n v="108123"/>
    <n v="9164707.5"/>
    <n v="31"/>
    <n v="6735"/>
    <n v="6264"/>
    <n v="3487.8387096774195"/>
  </r>
  <r>
    <d v="2020-05-06T00:00:00"/>
    <x v="3"/>
    <x v="3"/>
    <n v="9210"/>
    <n v="696832.5"/>
    <n v="10"/>
    <n v="465"/>
    <n v="390"/>
    <n v="921"/>
  </r>
  <r>
    <d v="2020-05-23T00:00:00"/>
    <x v="2"/>
    <x v="3"/>
    <n v="14773.5"/>
    <n v="1241383.5"/>
    <n v="10"/>
    <n v="828"/>
    <n v="734"/>
    <n v="1477.35"/>
  </r>
  <r>
    <d v="2020-05-28T00:00:00"/>
    <x v="0"/>
    <x v="2"/>
    <n v="78141"/>
    <n v="6641569.5"/>
    <n v="31"/>
    <n v="5355"/>
    <n v="4969"/>
    <n v="2520.6774193548385"/>
  </r>
  <r>
    <d v="2020-05-25T00:00:00"/>
    <x v="0"/>
    <x v="3"/>
    <n v="12280.5"/>
    <n v="1030440"/>
    <n v="10"/>
    <n v="739"/>
    <n v="642"/>
    <n v="1228.05"/>
  </r>
  <r>
    <d v="2020-04-30T00:00:00"/>
    <x v="4"/>
    <x v="3"/>
    <n v="8934"/>
    <n v="716196"/>
    <n v="10"/>
    <n v="448"/>
    <n v="376"/>
    <n v="893.4"/>
  </r>
  <r>
    <d v="2020-05-10T00:00:00"/>
    <x v="3"/>
    <x v="3"/>
    <n v="12918"/>
    <n v="1004788.5"/>
    <n v="10"/>
    <n v="642"/>
    <n v="556"/>
    <n v="1291.8"/>
  </r>
  <r>
    <d v="2020-05-08T00:00:00"/>
    <x v="3"/>
    <x v="3"/>
    <n v="12528"/>
    <n v="959703"/>
    <n v="10"/>
    <n v="638"/>
    <n v="547"/>
    <n v="1252.8"/>
  </r>
  <r>
    <d v="2020-05-07T00:00:00"/>
    <x v="3"/>
    <x v="3"/>
    <n v="11029.5"/>
    <n v="863754"/>
    <n v="10"/>
    <n v="563"/>
    <n v="486"/>
    <n v="1102.95"/>
  </r>
  <r>
    <d v="2020-05-24T00:00:00"/>
    <x v="2"/>
    <x v="3"/>
    <n v="9994.5"/>
    <n v="828984"/>
    <n v="10"/>
    <n v="639"/>
    <n v="557"/>
    <n v="999.45"/>
  </r>
  <r>
    <d v="2020-05-31T00:00:00"/>
    <x v="0"/>
    <x v="3"/>
    <n v="12724.5"/>
    <n v="1045515"/>
    <n v="10"/>
    <n v="749"/>
    <n v="655"/>
    <n v="1272.45"/>
  </r>
  <r>
    <d v="2020-05-30T00:00:00"/>
    <x v="0"/>
    <x v="3"/>
    <n v="14728.5"/>
    <n v="1260483"/>
    <n v="10"/>
    <n v="865"/>
    <n v="763"/>
    <n v="1472.85"/>
  </r>
  <r>
    <d v="2020-05-28T00:00:00"/>
    <x v="0"/>
    <x v="3"/>
    <n v="13038"/>
    <n v="1114552.5"/>
    <n v="10"/>
    <n v="791"/>
    <n v="697"/>
    <n v="1303.8"/>
  </r>
  <r>
    <d v="2020-05-16T00:00:00"/>
    <x v="1"/>
    <x v="4"/>
    <n v="35482.5"/>
    <n v="3222517.5"/>
    <n v="19"/>
    <n v="2080"/>
    <n v="1844"/>
    <n v="1867.5"/>
  </r>
  <r>
    <d v="2020-05-19T00:00:00"/>
    <x v="2"/>
    <x v="4"/>
    <n v="32434.5"/>
    <n v="2865337.5"/>
    <n v="19"/>
    <n v="1999"/>
    <n v="1799"/>
    <n v="1707.078947368421"/>
  </r>
  <r>
    <d v="2020-05-17T00:00:00"/>
    <x v="1"/>
    <x v="4"/>
    <n v="30486"/>
    <n v="2694289.5"/>
    <n v="19"/>
    <n v="1871"/>
    <n v="1660"/>
    <n v="1604.5263157894738"/>
  </r>
  <r>
    <d v="2020-05-09T00:00:00"/>
    <x v="3"/>
    <x v="4"/>
    <n v="32079"/>
    <n v="2902167"/>
    <n v="19"/>
    <n v="1851"/>
    <n v="1635"/>
    <n v="1688.3684210526317"/>
  </r>
  <r>
    <d v="2020-05-04T00:00:00"/>
    <x v="3"/>
    <x v="4"/>
    <n v="27072"/>
    <n v="2450968.5"/>
    <n v="19"/>
    <n v="1582"/>
    <n v="1403"/>
    <n v="1424.8421052631579"/>
  </r>
  <r>
    <d v="2020-04-29T00:00:00"/>
    <x v="4"/>
    <x v="4"/>
    <n v="25917"/>
    <n v="2397588"/>
    <n v="18"/>
    <n v="1534"/>
    <n v="1369"/>
    <n v="1439.8333333333333"/>
  </r>
  <r>
    <d v="2020-05-02T00:00:00"/>
    <x v="4"/>
    <x v="4"/>
    <n v="19461"/>
    <n v="1799230.5"/>
    <n v="19"/>
    <n v="1217"/>
    <n v="1048"/>
    <n v="1024.2631578947369"/>
  </r>
  <r>
    <d v="2020-05-26T00:00:00"/>
    <x v="0"/>
    <x v="4"/>
    <n v="31407"/>
    <n v="2907411"/>
    <n v="20"/>
    <n v="2036"/>
    <n v="1790"/>
    <n v="1570.35"/>
  </r>
  <r>
    <d v="2020-05-01T00:00:00"/>
    <x v="4"/>
    <x v="4"/>
    <n v="25792.5"/>
    <n v="2374356"/>
    <n v="19"/>
    <n v="1497"/>
    <n v="1291"/>
    <n v="1357.5"/>
  </r>
  <r>
    <d v="2020-05-12T00:00:00"/>
    <x v="1"/>
    <x v="4"/>
    <n v="26032.5"/>
    <n v="2370432"/>
    <n v="19"/>
    <n v="1649"/>
    <n v="1460"/>
    <n v="1370.1315789473683"/>
  </r>
  <r>
    <d v="2020-05-21T00:00:00"/>
    <x v="2"/>
    <x v="4"/>
    <n v="31707"/>
    <n v="2853181.5"/>
    <n v="19"/>
    <n v="1949"/>
    <n v="1724"/>
    <n v="1668.7894736842106"/>
  </r>
  <r>
    <d v="2020-05-20T00:00:00"/>
    <x v="2"/>
    <x v="4"/>
    <n v="29955"/>
    <n v="2692230"/>
    <n v="19"/>
    <n v="1889"/>
    <n v="1690"/>
    <n v="1576.578947368421"/>
  </r>
  <r>
    <d v="2020-05-05T00:00:00"/>
    <x v="3"/>
    <x v="4"/>
    <n v="22848"/>
    <n v="2079900"/>
    <n v="19"/>
    <n v="1417"/>
    <n v="1245"/>
    <n v="1202.5263157894738"/>
  </r>
  <r>
    <d v="2020-04-28T00:00:00"/>
    <x v="4"/>
    <x v="4"/>
    <n v="23314.5"/>
    <n v="2136817.5"/>
    <n v="17"/>
    <n v="1439"/>
    <n v="1265"/>
    <n v="1371.4411764705883"/>
  </r>
  <r>
    <d v="2020-05-13T00:00:00"/>
    <x v="1"/>
    <x v="4"/>
    <n v="26464.5"/>
    <n v="2373337.5"/>
    <n v="19"/>
    <n v="1625"/>
    <n v="1444"/>
    <n v="1392.8684210526317"/>
  </r>
  <r>
    <d v="2020-05-03T00:00:00"/>
    <x v="4"/>
    <x v="4"/>
    <n v="23539.5"/>
    <n v="2170309.5"/>
    <n v="19"/>
    <n v="1402"/>
    <n v="1234"/>
    <n v="1238.921052631579"/>
  </r>
  <r>
    <d v="2020-05-06T00:00:00"/>
    <x v="3"/>
    <x v="4"/>
    <n v="24678"/>
    <n v="2232519"/>
    <n v="19"/>
    <n v="1499"/>
    <n v="1323"/>
    <n v="1298.8421052631579"/>
  </r>
  <r>
    <d v="2020-05-23T00:00:00"/>
    <x v="2"/>
    <x v="4"/>
    <n v="38176.5"/>
    <n v="3385372.5"/>
    <n v="20"/>
    <n v="2266"/>
    <n v="1993"/>
    <n v="1908.825"/>
  </r>
  <r>
    <d v="2020-05-25T00:00:00"/>
    <x v="0"/>
    <x v="4"/>
    <n v="30603"/>
    <n v="2865727.5"/>
    <n v="20"/>
    <n v="2011"/>
    <n v="1791"/>
    <n v="1530.15"/>
  </r>
  <r>
    <d v="2020-04-30T00:00:00"/>
    <x v="4"/>
    <x v="4"/>
    <n v="24211.5"/>
    <n v="2267664"/>
    <n v="19"/>
    <n v="1499"/>
    <n v="1322"/>
    <n v="1274.2894736842106"/>
  </r>
  <r>
    <d v="2020-05-10T00:00:00"/>
    <x v="3"/>
    <x v="4"/>
    <n v="31399.5"/>
    <n v="2862298.5"/>
    <n v="19"/>
    <n v="1848"/>
    <n v="1649"/>
    <n v="1652.6052631578948"/>
  </r>
  <r>
    <d v="2020-05-08T00:00:00"/>
    <x v="3"/>
    <x v="4"/>
    <n v="25294.5"/>
    <n v="2271454.5"/>
    <n v="19"/>
    <n v="1522"/>
    <n v="1340"/>
    <n v="1331.2894736842106"/>
  </r>
  <r>
    <d v="2020-05-07T00:00:00"/>
    <x v="3"/>
    <x v="4"/>
    <n v="25468.5"/>
    <n v="2350672.5"/>
    <n v="19"/>
    <n v="1530"/>
    <n v="1338"/>
    <n v="1340.4473684210527"/>
  </r>
  <r>
    <d v="2020-05-24T00:00:00"/>
    <x v="2"/>
    <x v="4"/>
    <n v="31854"/>
    <n v="2915533.5"/>
    <n v="20"/>
    <n v="2015"/>
    <n v="1803"/>
    <n v="1592.7"/>
  </r>
  <r>
    <d v="2020-05-31T00:00:00"/>
    <x v="0"/>
    <x v="4"/>
    <n v="32359.5"/>
    <n v="2991999"/>
    <n v="20"/>
    <n v="2060"/>
    <n v="1826"/>
    <n v="1617.9749999999999"/>
  </r>
  <r>
    <d v="2020-05-30T00:00:00"/>
    <x v="0"/>
    <x v="4"/>
    <n v="39867"/>
    <n v="3654166.5"/>
    <n v="20"/>
    <n v="2451"/>
    <n v="2178"/>
    <n v="1993.35"/>
  </r>
  <r>
    <d v="2020-05-28T00:00:00"/>
    <x v="0"/>
    <x v="4"/>
    <n v="31974"/>
    <n v="3004213.5"/>
    <n v="20"/>
    <n v="2088"/>
    <n v="1848"/>
    <n v="1598.7"/>
  </r>
  <r>
    <d v="2020-05-16T00:00:00"/>
    <x v="1"/>
    <x v="5"/>
    <n v="321412.5"/>
    <n v="32235864"/>
    <n v="129"/>
    <n v="17914"/>
    <n v="16631"/>
    <n v="2491.5697674418607"/>
  </r>
  <r>
    <d v="2020-05-19T00:00:00"/>
    <x v="2"/>
    <x v="5"/>
    <n v="276568.5"/>
    <n v="27093624"/>
    <n v="129"/>
    <n v="16191"/>
    <n v="15102"/>
    <n v="2143.9418604651164"/>
  </r>
  <r>
    <d v="2020-05-17T00:00:00"/>
    <x v="1"/>
    <x v="5"/>
    <n v="269029.5"/>
    <n v="26659930.5"/>
    <n v="129"/>
    <n v="15744"/>
    <n v="14685"/>
    <n v="2085.5"/>
  </r>
  <r>
    <d v="2020-05-09T00:00:00"/>
    <x v="3"/>
    <x v="5"/>
    <n v="285972"/>
    <n v="29768199"/>
    <n v="129"/>
    <n v="16420"/>
    <n v="15169"/>
    <n v="2216.8372093023254"/>
  </r>
  <r>
    <d v="2020-05-04T00:00:00"/>
    <x v="3"/>
    <x v="5"/>
    <n v="283942.5"/>
    <n v="29357940"/>
    <n v="129"/>
    <n v="16525"/>
    <n v="15310"/>
    <n v="2201.1046511627906"/>
  </r>
  <r>
    <d v="2020-04-29T00:00:00"/>
    <x v="4"/>
    <x v="5"/>
    <n v="298059"/>
    <n v="30869287.5"/>
    <n v="128"/>
    <n v="17368"/>
    <n v="16077"/>
    <n v="2328.5859375"/>
  </r>
  <r>
    <d v="2020-05-02T00:00:00"/>
    <x v="4"/>
    <x v="5"/>
    <n v="232903.5"/>
    <n v="24342016.5"/>
    <n v="129"/>
    <n v="14009"/>
    <n v="12920"/>
    <n v="1805.453488372093"/>
  </r>
  <r>
    <d v="2020-05-26T00:00:00"/>
    <x v="0"/>
    <x v="5"/>
    <n v="276966"/>
    <n v="27872617.898850001"/>
    <n v="129"/>
    <n v="16459"/>
    <n v="15355"/>
    <n v="2147.0232558139537"/>
  </r>
  <r>
    <d v="2020-05-01T00:00:00"/>
    <x v="4"/>
    <x v="5"/>
    <n v="296149.5"/>
    <n v="31053316.5"/>
    <n v="129"/>
    <n v="17002"/>
    <n v="15570"/>
    <n v="2295.7325581395348"/>
  </r>
  <r>
    <d v="2020-05-12T00:00:00"/>
    <x v="1"/>
    <x v="5"/>
    <n v="281796"/>
    <n v="29042520"/>
    <n v="129"/>
    <n v="16387"/>
    <n v="15322"/>
    <n v="2184.4651162790697"/>
  </r>
  <r>
    <d v="2020-05-21T00:00:00"/>
    <x v="2"/>
    <x v="5"/>
    <n v="288936"/>
    <n v="27852900"/>
    <n v="129"/>
    <n v="16373"/>
    <n v="15223"/>
    <n v="2239.8139534883721"/>
  </r>
  <r>
    <d v="2020-05-20T00:00:00"/>
    <x v="2"/>
    <x v="5"/>
    <n v="300151.5"/>
    <n v="29368771.617449999"/>
    <n v="129"/>
    <n v="17095"/>
    <n v="15919"/>
    <n v="2326.7558139534885"/>
  </r>
  <r>
    <d v="2020-05-05T00:00:00"/>
    <x v="3"/>
    <x v="5"/>
    <n v="262734"/>
    <n v="27278441.145"/>
    <n v="129"/>
    <n v="15665"/>
    <n v="14501"/>
    <n v="2036.6976744186047"/>
  </r>
  <r>
    <d v="2020-04-28T00:00:00"/>
    <x v="4"/>
    <x v="5"/>
    <n v="286002"/>
    <n v="29159032.5"/>
    <n v="128"/>
    <n v="16450"/>
    <n v="15320"/>
    <n v="2234.390625"/>
  </r>
  <r>
    <d v="2020-05-13T00:00:00"/>
    <x v="1"/>
    <x v="5"/>
    <n v="258459"/>
    <n v="26467453.5"/>
    <n v="129"/>
    <n v="15304"/>
    <n v="14315"/>
    <n v="2003.5581395348838"/>
  </r>
  <r>
    <d v="2020-05-03T00:00:00"/>
    <x v="4"/>
    <x v="5"/>
    <n v="274083"/>
    <n v="28427001"/>
    <n v="129"/>
    <n v="15778"/>
    <n v="14624"/>
    <n v="2124.6744186046512"/>
  </r>
  <r>
    <d v="2020-05-06T00:00:00"/>
    <x v="3"/>
    <x v="5"/>
    <n v="277512"/>
    <n v="28770810.105599999"/>
    <n v="129"/>
    <n v="16376"/>
    <n v="15197"/>
    <n v="2151.2558139534885"/>
  </r>
  <r>
    <d v="2020-05-23T00:00:00"/>
    <x v="2"/>
    <x v="5"/>
    <n v="356982"/>
    <n v="35103926.711549997"/>
    <n v="129"/>
    <n v="19856"/>
    <n v="18325"/>
    <n v="2767.3023255813955"/>
  </r>
  <r>
    <d v="2020-05-25T00:00:00"/>
    <x v="0"/>
    <x v="5"/>
    <n v="266983.5"/>
    <n v="27165913.5"/>
    <n v="129"/>
    <n v="15822"/>
    <n v="14753"/>
    <n v="2069.6395348837209"/>
  </r>
  <r>
    <d v="2020-04-30T00:00:00"/>
    <x v="4"/>
    <x v="5"/>
    <n v="311131.5"/>
    <n v="32418879"/>
    <n v="129"/>
    <n v="18042"/>
    <n v="16631"/>
    <n v="2411.8720930232557"/>
  </r>
  <r>
    <d v="2020-05-10T00:00:00"/>
    <x v="3"/>
    <x v="5"/>
    <n v="287206.5"/>
    <n v="29536176.10605"/>
    <n v="129"/>
    <n v="16437"/>
    <n v="15285"/>
    <n v="2226.4069767441861"/>
  </r>
  <r>
    <d v="2020-05-08T00:00:00"/>
    <x v="3"/>
    <x v="5"/>
    <n v="370092"/>
    <n v="38091556.5"/>
    <n v="129"/>
    <n v="20452"/>
    <n v="18857"/>
    <n v="2868.9302325581393"/>
  </r>
  <r>
    <d v="2020-05-07T00:00:00"/>
    <x v="3"/>
    <x v="5"/>
    <n v="247813.5"/>
    <n v="25325271"/>
    <n v="129"/>
    <n v="14582"/>
    <n v="13512"/>
    <n v="1921.0348837209303"/>
  </r>
  <r>
    <d v="2020-05-24T00:00:00"/>
    <x v="2"/>
    <x v="5"/>
    <n v="287740.5"/>
    <n v="28188534"/>
    <n v="129"/>
    <n v="16432"/>
    <n v="15345"/>
    <n v="2230.546511627907"/>
  </r>
  <r>
    <d v="2020-05-16T00:00:00"/>
    <x v="1"/>
    <x v="6"/>
    <n v="408810"/>
    <n v="42323631"/>
    <n v="125"/>
    <n v="22291"/>
    <n v="20635"/>
    <n v="3270.48"/>
  </r>
  <r>
    <d v="2020-05-19T00:00:00"/>
    <x v="2"/>
    <x v="6"/>
    <n v="362536.5"/>
    <n v="37023243"/>
    <n v="125"/>
    <n v="20771"/>
    <n v="19338"/>
    <n v="2900.2919999999999"/>
  </r>
  <r>
    <d v="2020-05-17T00:00:00"/>
    <x v="1"/>
    <x v="6"/>
    <n v="357072"/>
    <n v="36834567"/>
    <n v="125"/>
    <n v="20079"/>
    <n v="18721"/>
    <n v="2856.576"/>
  </r>
  <r>
    <d v="2020-05-09T00:00:00"/>
    <x v="3"/>
    <x v="6"/>
    <n v="359214"/>
    <n v="38693427"/>
    <n v="125"/>
    <n v="20132"/>
    <n v="18617"/>
    <n v="2873.712"/>
  </r>
  <r>
    <d v="2020-05-04T00:00:00"/>
    <x v="3"/>
    <x v="6"/>
    <n v="360255"/>
    <n v="38406954"/>
    <n v="125"/>
    <n v="20495"/>
    <n v="18964"/>
    <n v="2882.04"/>
  </r>
  <r>
    <d v="2020-04-29T00:00:00"/>
    <x v="4"/>
    <x v="6"/>
    <n v="387220.5"/>
    <n v="41559384"/>
    <n v="125"/>
    <n v="21863"/>
    <n v="20160"/>
    <n v="3097.7640000000001"/>
  </r>
  <r>
    <d v="2020-05-02T00:00:00"/>
    <x v="4"/>
    <x v="6"/>
    <n v="296580"/>
    <n v="31843737"/>
    <n v="125"/>
    <n v="16932"/>
    <n v="15601"/>
    <n v="2372.64"/>
  </r>
  <r>
    <d v="2020-05-26T00:00:00"/>
    <x v="0"/>
    <x v="6"/>
    <n v="369861"/>
    <n v="38365960.5"/>
    <n v="124"/>
    <n v="21153"/>
    <n v="19673"/>
    <n v="2982.75"/>
  </r>
  <r>
    <d v="2020-05-01T00:00:00"/>
    <x v="4"/>
    <x v="6"/>
    <n v="372504"/>
    <n v="40077193.5"/>
    <n v="125"/>
    <n v="20602"/>
    <n v="18845"/>
    <n v="2980.0320000000002"/>
  </r>
  <r>
    <d v="2020-05-12T00:00:00"/>
    <x v="1"/>
    <x v="6"/>
    <n v="373392"/>
    <n v="39578577"/>
    <n v="125"/>
    <n v="21106"/>
    <n v="19651"/>
    <n v="2987.136"/>
  </r>
  <r>
    <d v="2020-05-21T00:00:00"/>
    <x v="2"/>
    <x v="6"/>
    <n v="378043.5"/>
    <n v="37902156.57"/>
    <n v="125"/>
    <n v="20911"/>
    <n v="19358"/>
    <n v="3024.348"/>
  </r>
  <r>
    <d v="2020-05-20T00:00:00"/>
    <x v="2"/>
    <x v="6"/>
    <n v="388668"/>
    <n v="39639309"/>
    <n v="125"/>
    <n v="21674"/>
    <n v="20155"/>
    <n v="3109.3440000000001"/>
  </r>
  <r>
    <d v="2020-05-05T00:00:00"/>
    <x v="3"/>
    <x v="6"/>
    <n v="333792"/>
    <n v="35671734"/>
    <n v="125"/>
    <n v="18944"/>
    <n v="17541"/>
    <n v="2670.3359999999998"/>
  </r>
  <r>
    <d v="2020-04-28T00:00:00"/>
    <x v="4"/>
    <x v="6"/>
    <n v="376060.5"/>
    <n v="39918028.5"/>
    <n v="125"/>
    <n v="20914"/>
    <n v="19479"/>
    <n v="3008.4839999999999"/>
  </r>
  <r>
    <d v="2020-05-13T00:00:00"/>
    <x v="1"/>
    <x v="6"/>
    <n v="350068.5"/>
    <n v="37197115.5"/>
    <n v="125"/>
    <n v="19965"/>
    <n v="18573"/>
    <n v="2800.5479999999998"/>
  </r>
  <r>
    <d v="2020-05-31T00:00:00"/>
    <x v="0"/>
    <x v="5"/>
    <n v="294337.5"/>
    <n v="29327766"/>
    <n v="129"/>
    <n v="17235"/>
    <n v="16052"/>
    <n v="2281.6860465116279"/>
  </r>
  <r>
    <d v="2020-05-03T00:00:00"/>
    <x v="4"/>
    <x v="6"/>
    <n v="342666"/>
    <n v="36631999.5"/>
    <n v="125"/>
    <n v="18861"/>
    <n v="17420"/>
    <n v="2741.328"/>
  </r>
  <r>
    <d v="2020-05-30T00:00:00"/>
    <x v="0"/>
    <x v="5"/>
    <n v="364882.5"/>
    <n v="35724493.5"/>
    <n v="129"/>
    <n v="20243"/>
    <n v="18711"/>
    <n v="2828.546511627907"/>
  </r>
  <r>
    <d v="2020-05-06T00:00:00"/>
    <x v="3"/>
    <x v="6"/>
    <n v="355278"/>
    <n v="38092344"/>
    <n v="125"/>
    <n v="20218"/>
    <n v="18647"/>
    <n v="2842.2240000000002"/>
  </r>
  <r>
    <d v="2020-05-23T00:00:00"/>
    <x v="2"/>
    <x v="6"/>
    <n v="456885"/>
    <n v="46408080"/>
    <n v="125"/>
    <n v="24574"/>
    <n v="22609"/>
    <n v="3655.08"/>
  </r>
  <r>
    <d v="2020-05-28T00:00:00"/>
    <x v="0"/>
    <x v="5"/>
    <n v="278491.5"/>
    <n v="28151004.75"/>
    <n v="129"/>
    <n v="16453"/>
    <n v="15289"/>
    <n v="2158.8488372093025"/>
  </r>
  <r>
    <d v="2020-05-25T00:00:00"/>
    <x v="0"/>
    <x v="6"/>
    <n v="349734"/>
    <n v="36883428"/>
    <n v="124"/>
    <n v="20358"/>
    <n v="18890"/>
    <n v="2820.4354838709678"/>
  </r>
  <r>
    <d v="2020-04-30T00:00:00"/>
    <x v="4"/>
    <x v="6"/>
    <n v="401580"/>
    <n v="43028734.5"/>
    <n v="125"/>
    <n v="22368"/>
    <n v="20625"/>
    <n v="3212.64"/>
  </r>
  <r>
    <d v="2020-05-10T00:00:00"/>
    <x v="3"/>
    <x v="6"/>
    <n v="368649"/>
    <n v="39010875"/>
    <n v="125"/>
    <n v="20368"/>
    <n v="18884"/>
    <n v="2949.192"/>
  </r>
  <r>
    <d v="2020-05-08T00:00:00"/>
    <x v="3"/>
    <x v="6"/>
    <n v="463530"/>
    <n v="49123180.5"/>
    <n v="125"/>
    <n v="24620"/>
    <n v="22641"/>
    <n v="3708.24"/>
  </r>
  <r>
    <d v="2020-05-07T00:00:00"/>
    <x v="3"/>
    <x v="6"/>
    <n v="319110"/>
    <n v="33763989"/>
    <n v="125"/>
    <n v="18014"/>
    <n v="16675"/>
    <n v="2552.88"/>
  </r>
  <r>
    <d v="2020-05-24T00:00:00"/>
    <x v="2"/>
    <x v="6"/>
    <n v="375744"/>
    <n v="38191381.5"/>
    <n v="125"/>
    <n v="21004"/>
    <n v="19556"/>
    <n v="3005.9520000000002"/>
  </r>
  <r>
    <d v="2020-05-16T00:00:00"/>
    <x v="1"/>
    <x v="7"/>
    <n v="81331.5"/>
    <n v="6652179"/>
    <n v="36"/>
    <n v="5286"/>
    <n v="4867"/>
    <n v="2259.2083333333335"/>
  </r>
  <r>
    <d v="2020-05-19T00:00:00"/>
    <x v="2"/>
    <x v="7"/>
    <n v="75796.5"/>
    <n v="6173463"/>
    <n v="36"/>
    <n v="5094"/>
    <n v="4716"/>
    <n v="2105.4583333333335"/>
  </r>
  <r>
    <d v="2020-05-17T00:00:00"/>
    <x v="1"/>
    <x v="7"/>
    <n v="72861"/>
    <n v="5952802.5"/>
    <n v="36"/>
    <n v="4918"/>
    <n v="4554"/>
    <n v="2023.9166666666667"/>
  </r>
  <r>
    <d v="2020-05-09T00:00:00"/>
    <x v="3"/>
    <x v="7"/>
    <n v="83373"/>
    <n v="7253427"/>
    <n v="36"/>
    <n v="5413"/>
    <n v="4959"/>
    <n v="2315.9166666666665"/>
  </r>
  <r>
    <d v="2020-05-04T00:00:00"/>
    <x v="3"/>
    <x v="7"/>
    <n v="64108.5"/>
    <n v="5561452.5"/>
    <n v="36"/>
    <n v="4508"/>
    <n v="4149"/>
    <n v="1780.7916666666667"/>
  </r>
  <r>
    <d v="2020-04-29T00:00:00"/>
    <x v="4"/>
    <x v="7"/>
    <n v="74707.5"/>
    <n v="6454458"/>
    <n v="36"/>
    <n v="4937"/>
    <n v="4561"/>
    <n v="2075.2083333333335"/>
  </r>
  <r>
    <d v="2020-05-02T00:00:00"/>
    <x v="4"/>
    <x v="7"/>
    <n v="46216.5"/>
    <n v="4118251.5"/>
    <n v="36"/>
    <n v="3442"/>
    <n v="3147"/>
    <n v="1283.7916666666667"/>
  </r>
  <r>
    <d v="2020-05-26T00:00:00"/>
    <x v="0"/>
    <x v="7"/>
    <n v="67726.5"/>
    <n v="5864989.5"/>
    <n v="36"/>
    <n v="4770"/>
    <n v="4424"/>
    <n v="1881.2916666666667"/>
  </r>
  <r>
    <d v="2020-05-01T00:00:00"/>
    <x v="4"/>
    <x v="7"/>
    <n v="82228.5"/>
    <n v="7032225"/>
    <n v="36"/>
    <n v="5457"/>
    <n v="4916"/>
    <n v="2284.125"/>
  </r>
  <r>
    <d v="2020-05-12T00:00:00"/>
    <x v="1"/>
    <x v="7"/>
    <n v="64390.5"/>
    <n v="5523145.5"/>
    <n v="36"/>
    <n v="4418"/>
    <n v="4088"/>
    <n v="1788.625"/>
  </r>
  <r>
    <d v="2020-05-21T00:00:00"/>
    <x v="2"/>
    <x v="7"/>
    <n v="73126.5"/>
    <n v="5864085"/>
    <n v="36"/>
    <n v="4816"/>
    <n v="4452"/>
    <n v="2031.2916666666667"/>
  </r>
  <r>
    <d v="2020-05-20T00:00:00"/>
    <x v="2"/>
    <x v="7"/>
    <n v="99631.5"/>
    <n v="7121946"/>
    <n v="36"/>
    <n v="5914"/>
    <n v="5384"/>
    <n v="2767.5416666666665"/>
  </r>
  <r>
    <d v="2020-05-05T00:00:00"/>
    <x v="3"/>
    <x v="7"/>
    <n v="66396"/>
    <n v="5770539"/>
    <n v="36"/>
    <n v="4575"/>
    <n v="4206"/>
    <n v="1844.3333333333333"/>
  </r>
  <r>
    <d v="2020-04-28T00:00:00"/>
    <x v="4"/>
    <x v="7"/>
    <n v="73147.5"/>
    <n v="6288246"/>
    <n v="36"/>
    <n v="4923"/>
    <n v="4560"/>
    <n v="2031.875"/>
  </r>
  <r>
    <d v="2020-05-13T00:00:00"/>
    <x v="1"/>
    <x v="7"/>
    <n v="73062"/>
    <n v="6333828"/>
    <n v="36"/>
    <n v="4967"/>
    <n v="4583"/>
    <n v="2029.5"/>
  </r>
  <r>
    <d v="2020-05-31T00:00:00"/>
    <x v="0"/>
    <x v="6"/>
    <n v="379663.5"/>
    <n v="39380178"/>
    <n v="124"/>
    <n v="21392"/>
    <n v="19869"/>
    <n v="3061.8024193548385"/>
  </r>
  <r>
    <d v="2020-05-03T00:00:00"/>
    <x v="4"/>
    <x v="7"/>
    <n v="70581"/>
    <n v="6221320.5"/>
    <n v="36"/>
    <n v="4751"/>
    <n v="4370"/>
    <n v="1960.5833333333333"/>
  </r>
  <r>
    <d v="2020-05-30T00:00:00"/>
    <x v="0"/>
    <x v="6"/>
    <n v="453123"/>
    <n v="46370904"/>
    <n v="124"/>
    <n v="24325"/>
    <n v="22469"/>
    <n v="3654.2177419354839"/>
  </r>
  <r>
    <d v="2020-05-06T00:00:00"/>
    <x v="3"/>
    <x v="7"/>
    <n v="63012"/>
    <n v="5454121.5"/>
    <n v="36"/>
    <n v="4384"/>
    <n v="4025"/>
    <n v="1750.3333333333333"/>
  </r>
  <r>
    <d v="2020-05-23T00:00:00"/>
    <x v="2"/>
    <x v="7"/>
    <n v="89556"/>
    <n v="7173117"/>
    <n v="36"/>
    <n v="5651"/>
    <n v="5212"/>
    <n v="2487.6666666666665"/>
  </r>
  <r>
    <d v="2020-05-28T00:00:00"/>
    <x v="0"/>
    <x v="6"/>
    <n v="364638"/>
    <n v="37947688.5"/>
    <n v="124"/>
    <n v="20868"/>
    <n v="19342"/>
    <n v="2940.6290322580644"/>
  </r>
  <r>
    <d v="2020-05-25T00:00:00"/>
    <x v="0"/>
    <x v="7"/>
    <n v="66316.5"/>
    <n v="5704650"/>
    <n v="36"/>
    <n v="4641"/>
    <n v="4274"/>
    <n v="1842.125"/>
  </r>
  <r>
    <d v="2020-04-30T00:00:00"/>
    <x v="4"/>
    <x v="7"/>
    <n v="78235.5"/>
    <n v="6819594"/>
    <n v="36"/>
    <n v="5143"/>
    <n v="4715"/>
    <n v="2173.2083333333335"/>
  </r>
  <r>
    <d v="2020-05-10T00:00:00"/>
    <x v="3"/>
    <x v="7"/>
    <n v="88311"/>
    <n v="7726069.5"/>
    <n v="36"/>
    <n v="5746"/>
    <n v="5277"/>
    <n v="2453.0833333333335"/>
  </r>
  <r>
    <d v="2020-05-08T00:00:00"/>
    <x v="3"/>
    <x v="7"/>
    <n v="61804.5"/>
    <n v="5365708.5"/>
    <n v="36"/>
    <n v="4199"/>
    <n v="3867"/>
    <n v="1716.7916666666667"/>
  </r>
  <r>
    <d v="2020-05-07T00:00:00"/>
    <x v="3"/>
    <x v="7"/>
    <n v="71067"/>
    <n v="6175837.5"/>
    <n v="36"/>
    <n v="4826"/>
    <n v="4426"/>
    <n v="1974.0833333333333"/>
  </r>
  <r>
    <d v="2020-05-24T00:00:00"/>
    <x v="2"/>
    <x v="7"/>
    <n v="74649"/>
    <n v="6098236.5"/>
    <n v="36"/>
    <n v="4915"/>
    <n v="4562"/>
    <n v="2073.5833333333335"/>
  </r>
  <r>
    <d v="2020-05-16T00:00:00"/>
    <x v="1"/>
    <x v="8"/>
    <n v="44560.5"/>
    <n v="4025148"/>
    <n v="21"/>
    <n v="2427"/>
    <n v="2213"/>
    <n v="2121.9285714285716"/>
  </r>
  <r>
    <d v="2020-05-19T00:00:00"/>
    <x v="2"/>
    <x v="8"/>
    <n v="38250"/>
    <n v="3552937.5"/>
    <n v="21"/>
    <n v="2245"/>
    <n v="2053"/>
    <n v="1821.4285714285713"/>
  </r>
  <r>
    <d v="2020-05-17T00:00:00"/>
    <x v="1"/>
    <x v="8"/>
    <n v="34830"/>
    <n v="3191155.5"/>
    <n v="21"/>
    <n v="2054"/>
    <n v="1883"/>
    <n v="1658.5714285714287"/>
  </r>
  <r>
    <d v="2020-05-09T00:00:00"/>
    <x v="3"/>
    <x v="8"/>
    <n v="32239.5"/>
    <n v="3084892.5"/>
    <n v="21"/>
    <n v="1891"/>
    <n v="1709"/>
    <n v="1535.2142857142858"/>
  </r>
  <r>
    <d v="2020-05-04T00:00:00"/>
    <x v="3"/>
    <x v="8"/>
    <n v="30780"/>
    <n v="2817853.5"/>
    <n v="20"/>
    <n v="1804"/>
    <n v="1638"/>
    <n v="1539"/>
  </r>
  <r>
    <d v="2020-04-29T00:00:00"/>
    <x v="4"/>
    <x v="8"/>
    <n v="29142"/>
    <n v="2627595"/>
    <n v="19"/>
    <n v="1676"/>
    <n v="1516"/>
    <n v="1533.7894736842106"/>
  </r>
  <r>
    <d v="2020-05-02T00:00:00"/>
    <x v="4"/>
    <x v="8"/>
    <n v="26428.5"/>
    <n v="2470465.5"/>
    <n v="20"/>
    <n v="1613"/>
    <n v="1457"/>
    <n v="1321.425"/>
  </r>
  <r>
    <d v="2020-05-26T00:00:00"/>
    <x v="0"/>
    <x v="8"/>
    <n v="40744.5"/>
    <n v="3700311"/>
    <n v="21"/>
    <n v="2418"/>
    <n v="2215"/>
    <n v="1940.2142857142858"/>
  </r>
  <r>
    <d v="2020-05-01T00:00:00"/>
    <x v="4"/>
    <x v="8"/>
    <n v="46620"/>
    <n v="4293241.5"/>
    <n v="20"/>
    <n v="2468"/>
    <n v="2221"/>
    <n v="2331"/>
  </r>
  <r>
    <d v="2020-05-12T00:00:00"/>
    <x v="1"/>
    <x v="8"/>
    <n v="32419.5"/>
    <n v="3080614.5"/>
    <n v="21"/>
    <n v="1926"/>
    <n v="1745"/>
    <n v="1543.7857142857142"/>
  </r>
  <r>
    <d v="2020-05-21T00:00:00"/>
    <x v="2"/>
    <x v="8"/>
    <n v="40819.5"/>
    <n v="3810394.5"/>
    <n v="21"/>
    <n v="2335"/>
    <n v="2126"/>
    <n v="1943.7857142857142"/>
  </r>
  <r>
    <d v="2020-05-20T00:00:00"/>
    <x v="2"/>
    <x v="8"/>
    <n v="41391"/>
    <n v="3918987"/>
    <n v="21"/>
    <n v="2410"/>
    <n v="2202"/>
    <n v="1971"/>
  </r>
  <r>
    <d v="2020-05-05T00:00:00"/>
    <x v="3"/>
    <x v="8"/>
    <n v="29482.5"/>
    <n v="2648688"/>
    <n v="20"/>
    <n v="1757"/>
    <n v="1596"/>
    <n v="1474.125"/>
  </r>
  <r>
    <d v="2020-04-28T00:00:00"/>
    <x v="4"/>
    <x v="8"/>
    <n v="32181"/>
    <n v="2863600.5"/>
    <n v="19"/>
    <n v="1846"/>
    <n v="1681"/>
    <n v="1693.7368421052631"/>
  </r>
  <r>
    <d v="2020-05-13T00:00:00"/>
    <x v="1"/>
    <x v="8"/>
    <n v="35535"/>
    <n v="3288069"/>
    <n v="21"/>
    <n v="2061"/>
    <n v="1876"/>
    <n v="1692.1428571428571"/>
  </r>
  <r>
    <d v="2020-05-31T00:00:00"/>
    <x v="0"/>
    <x v="7"/>
    <n v="76234.5"/>
    <n v="6500848.5"/>
    <n v="37"/>
    <n v="5215"/>
    <n v="4848"/>
    <n v="2060.3918918918921"/>
  </r>
  <r>
    <d v="2020-05-03T00:00:00"/>
    <x v="4"/>
    <x v="8"/>
    <n v="29935.5"/>
    <n v="2720002.5"/>
    <n v="20"/>
    <n v="1716"/>
    <n v="1561"/>
    <n v="1496.7750000000001"/>
  </r>
  <r>
    <d v="2020-05-30T00:00:00"/>
    <x v="0"/>
    <x v="7"/>
    <n v="106926"/>
    <n v="9098386.5"/>
    <n v="37"/>
    <n v="6645"/>
    <n v="6122"/>
    <n v="2889.8918918918921"/>
  </r>
  <r>
    <d v="2020-05-06T00:00:00"/>
    <x v="3"/>
    <x v="8"/>
    <n v="30342"/>
    <n v="2738127"/>
    <n v="20"/>
    <n v="1747"/>
    <n v="1570"/>
    <n v="1517.1"/>
  </r>
  <r>
    <d v="2020-05-23T00:00:00"/>
    <x v="2"/>
    <x v="8"/>
    <n v="42999"/>
    <n v="3883215"/>
    <n v="21"/>
    <n v="2460"/>
    <n v="2226"/>
    <n v="2047.5714285714287"/>
  </r>
  <r>
    <d v="2020-05-28T00:00:00"/>
    <x v="0"/>
    <x v="7"/>
    <n v="69945"/>
    <n v="6101931"/>
    <n v="37"/>
    <n v="4840"/>
    <n v="4475"/>
    <n v="1890.4054054054054"/>
  </r>
  <r>
    <d v="2020-05-25T00:00:00"/>
    <x v="0"/>
    <x v="8"/>
    <n v="38740.5"/>
    <n v="3561655.5"/>
    <n v="21"/>
    <n v="2330"/>
    <n v="2142"/>
    <n v="1844.7857142857142"/>
  </r>
  <r>
    <d v="2020-04-30T00:00:00"/>
    <x v="4"/>
    <x v="8"/>
    <n v="31231.5"/>
    <n v="2853310.5"/>
    <n v="20"/>
    <n v="1756"/>
    <n v="1586"/>
    <n v="1561.575"/>
  </r>
  <r>
    <d v="2020-05-10T00:00:00"/>
    <x v="3"/>
    <x v="8"/>
    <n v="37489.5"/>
    <n v="3549097.5"/>
    <n v="21"/>
    <n v="2120"/>
    <n v="1921"/>
    <n v="1785.2142857142858"/>
  </r>
  <r>
    <d v="2020-05-08T00:00:00"/>
    <x v="3"/>
    <x v="8"/>
    <n v="34399.5"/>
    <n v="3201358.5"/>
    <n v="21"/>
    <n v="1957"/>
    <n v="1755"/>
    <n v="1638.0714285714287"/>
  </r>
  <r>
    <d v="2020-05-07T00:00:00"/>
    <x v="3"/>
    <x v="8"/>
    <n v="32851.5"/>
    <n v="2934504"/>
    <n v="21"/>
    <n v="1879"/>
    <n v="1695"/>
    <n v="1564.3571428571429"/>
  </r>
  <r>
    <d v="2020-05-24T00:00:00"/>
    <x v="2"/>
    <x v="8"/>
    <n v="38194.5"/>
    <n v="3449302.5"/>
    <n v="21"/>
    <n v="2254"/>
    <n v="2061"/>
    <n v="1818.7857142857142"/>
  </r>
  <r>
    <d v="2020-05-31T00:00:00"/>
    <x v="0"/>
    <x v="8"/>
    <n v="42423"/>
    <n v="3994153.5"/>
    <n v="23"/>
    <n v="2522"/>
    <n v="2295"/>
    <n v="1844.4782608695652"/>
  </r>
  <r>
    <d v="2020-05-30T00:00:00"/>
    <x v="0"/>
    <x v="8"/>
    <n v="48286.5"/>
    <n v="4456441.5"/>
    <n v="22"/>
    <n v="2793"/>
    <n v="2539"/>
    <n v="2194.840909090909"/>
  </r>
  <r>
    <d v="2020-05-28T00:00:00"/>
    <x v="0"/>
    <x v="8"/>
    <n v="41442"/>
    <n v="3893680.5"/>
    <n v="22"/>
    <n v="2454"/>
    <n v="2239"/>
    <n v="1883.7272727272727"/>
  </r>
  <r>
    <d v="2020-05-16T00:00:00"/>
    <x v="1"/>
    <x v="9"/>
    <n v="18600"/>
    <n v="1601425.5"/>
    <n v="15"/>
    <n v="1111"/>
    <n v="992"/>
    <n v="1240"/>
  </r>
  <r>
    <d v="2020-05-19T00:00:00"/>
    <x v="2"/>
    <x v="9"/>
    <n v="16638"/>
    <n v="1364847"/>
    <n v="16"/>
    <n v="1012"/>
    <n v="900"/>
    <n v="1039.875"/>
  </r>
  <r>
    <d v="2020-05-17T00:00:00"/>
    <x v="1"/>
    <x v="9"/>
    <n v="15609"/>
    <n v="1377577.5"/>
    <n v="15"/>
    <n v="971"/>
    <n v="856"/>
    <n v="1040.5999999999999"/>
  </r>
  <r>
    <d v="2020-05-09T00:00:00"/>
    <x v="3"/>
    <x v="9"/>
    <n v="13948.5"/>
    <n v="1222932"/>
    <n v="15"/>
    <n v="849"/>
    <n v="740"/>
    <n v="929.9"/>
  </r>
  <r>
    <d v="2020-05-04T00:00:00"/>
    <x v="3"/>
    <x v="9"/>
    <n v="12301.5"/>
    <n v="1085211"/>
    <n v="15"/>
    <n v="750"/>
    <n v="647"/>
    <n v="820.1"/>
  </r>
  <r>
    <d v="2020-04-29T00:00:00"/>
    <x v="4"/>
    <x v="9"/>
    <n v="13014"/>
    <n v="1115992.5"/>
    <n v="15"/>
    <n v="786"/>
    <n v="695"/>
    <n v="867.6"/>
  </r>
  <r>
    <d v="2020-05-02T00:00:00"/>
    <x v="4"/>
    <x v="9"/>
    <n v="12313.5"/>
    <n v="1053220.5"/>
    <n v="15"/>
    <n v="751"/>
    <n v="651"/>
    <n v="820.9"/>
  </r>
  <r>
    <d v="2020-05-26T00:00:00"/>
    <x v="0"/>
    <x v="9"/>
    <n v="17391"/>
    <n v="1489132.5"/>
    <n v="17"/>
    <n v="1140"/>
    <n v="1016"/>
    <n v="1023"/>
  </r>
  <r>
    <d v="2020-05-01T00:00:00"/>
    <x v="4"/>
    <x v="9"/>
    <n v="17113.5"/>
    <n v="1465842"/>
    <n v="15"/>
    <n v="996"/>
    <n v="888"/>
    <n v="1140.9000000000001"/>
  </r>
  <r>
    <d v="2020-05-12T00:00:00"/>
    <x v="1"/>
    <x v="9"/>
    <n v="12802.5"/>
    <n v="1123830"/>
    <n v="15"/>
    <n v="845"/>
    <n v="743"/>
    <n v="853.5"/>
  </r>
  <r>
    <d v="2020-05-21T00:00:00"/>
    <x v="2"/>
    <x v="9"/>
    <n v="16554"/>
    <n v="1380751.5"/>
    <n v="17"/>
    <n v="1045"/>
    <n v="930"/>
    <n v="973.76470588235293"/>
  </r>
  <r>
    <d v="2020-05-20T00:00:00"/>
    <x v="2"/>
    <x v="9"/>
    <n v="17329.5"/>
    <n v="1430254.5"/>
    <n v="16"/>
    <n v="1050"/>
    <n v="938"/>
    <n v="1083.09375"/>
  </r>
  <r>
    <d v="2020-05-05T00:00:00"/>
    <x v="3"/>
    <x v="9"/>
    <n v="15987"/>
    <n v="1384179"/>
    <n v="15"/>
    <n v="922"/>
    <n v="823"/>
    <n v="1065.8"/>
  </r>
  <r>
    <d v="2020-04-28T00:00:00"/>
    <x v="4"/>
    <x v="9"/>
    <n v="13303.5"/>
    <n v="1102887"/>
    <n v="15"/>
    <n v="780"/>
    <n v="690"/>
    <n v="886.9"/>
  </r>
  <r>
    <d v="2020-05-13T00:00:00"/>
    <x v="1"/>
    <x v="9"/>
    <n v="14305.5"/>
    <n v="1243507.5"/>
    <n v="15"/>
    <n v="898"/>
    <n v="795"/>
    <n v="953.7"/>
  </r>
  <r>
    <d v="2020-05-03T00:00:00"/>
    <x v="4"/>
    <x v="9"/>
    <n v="12924"/>
    <n v="1120009.5"/>
    <n v="15"/>
    <n v="784"/>
    <n v="696"/>
    <n v="861.6"/>
  </r>
  <r>
    <d v="2020-05-06T00:00:00"/>
    <x v="3"/>
    <x v="9"/>
    <n v="14061"/>
    <n v="1221057"/>
    <n v="15"/>
    <n v="839"/>
    <n v="733"/>
    <n v="937.4"/>
  </r>
  <r>
    <d v="2020-05-23T00:00:00"/>
    <x v="2"/>
    <x v="9"/>
    <n v="21958.5"/>
    <n v="1854001.5"/>
    <n v="17"/>
    <n v="1294"/>
    <n v="1155"/>
    <n v="1291.6764705882354"/>
  </r>
  <r>
    <d v="2020-05-25T00:00:00"/>
    <x v="0"/>
    <x v="9"/>
    <n v="17211"/>
    <n v="1507867.5"/>
    <n v="17"/>
    <n v="1142"/>
    <n v="1020"/>
    <n v="1012.4117647058823"/>
  </r>
  <r>
    <d v="2020-04-30T00:00:00"/>
    <x v="4"/>
    <x v="9"/>
    <n v="12753"/>
    <n v="1103068.5"/>
    <n v="15"/>
    <n v="791"/>
    <n v="691"/>
    <n v="850.2"/>
  </r>
  <r>
    <d v="2020-05-10T00:00:00"/>
    <x v="3"/>
    <x v="9"/>
    <n v="16435.5"/>
    <n v="1471537.5"/>
    <n v="15"/>
    <n v="950"/>
    <n v="848"/>
    <n v="1095.7"/>
  </r>
  <r>
    <d v="2020-05-08T00:00:00"/>
    <x v="3"/>
    <x v="9"/>
    <n v="14494.5"/>
    <n v="1269786"/>
    <n v="15"/>
    <n v="879"/>
    <n v="768"/>
    <n v="966.3"/>
  </r>
  <r>
    <d v="2020-05-07T00:00:00"/>
    <x v="3"/>
    <x v="9"/>
    <n v="12705"/>
    <n v="1123894.5"/>
    <n v="15"/>
    <n v="805"/>
    <n v="703"/>
    <n v="847"/>
  </r>
  <r>
    <d v="2020-05-24T00:00:00"/>
    <x v="2"/>
    <x v="9"/>
    <n v="18075"/>
    <n v="1548099"/>
    <n v="17"/>
    <n v="1128"/>
    <n v="1001"/>
    <n v="1063.2352941176471"/>
  </r>
  <r>
    <d v="2020-05-16T00:00:00"/>
    <x v="1"/>
    <x v="10"/>
    <n v="13120.5"/>
    <n v="1215033"/>
    <n v="15"/>
    <n v="747"/>
    <n v="647"/>
    <n v="874.7"/>
  </r>
  <r>
    <d v="2020-05-19T00:00:00"/>
    <x v="2"/>
    <x v="10"/>
    <n v="16237.5"/>
    <n v="1403047.5"/>
    <n v="15"/>
    <n v="930"/>
    <n v="827"/>
    <n v="1082.5"/>
  </r>
  <r>
    <d v="2020-05-17T00:00:00"/>
    <x v="1"/>
    <x v="10"/>
    <n v="11967"/>
    <n v="1060489.5"/>
    <n v="15"/>
    <n v="692"/>
    <n v="591"/>
    <n v="797.8"/>
  </r>
  <r>
    <d v="2020-05-09T00:00:00"/>
    <x v="3"/>
    <x v="10"/>
    <n v="12037.5"/>
    <n v="1081216.5"/>
    <n v="15"/>
    <n v="623"/>
    <n v="535"/>
    <n v="802.5"/>
  </r>
  <r>
    <d v="2020-05-04T00:00:00"/>
    <x v="3"/>
    <x v="10"/>
    <n v="7087.5"/>
    <n v="610855.5"/>
    <n v="15"/>
    <n v="390"/>
    <n v="315"/>
    <n v="472.5"/>
  </r>
  <r>
    <d v="2020-04-29T00:00:00"/>
    <x v="4"/>
    <x v="11"/>
    <n v="25816.5"/>
    <n v="2360914.5"/>
    <n v="18"/>
    <n v="1599"/>
    <n v="1450"/>
    <n v="1434.25"/>
  </r>
  <r>
    <d v="2020-05-02T00:00:00"/>
    <x v="4"/>
    <x v="10"/>
    <n v="4624.5"/>
    <n v="433243.5"/>
    <n v="15"/>
    <n v="274"/>
    <n v="203"/>
    <n v="308.3"/>
  </r>
  <r>
    <d v="2020-05-26T00:00:00"/>
    <x v="0"/>
    <x v="10"/>
    <n v="12259.5"/>
    <n v="1152054"/>
    <n v="15"/>
    <n v="812"/>
    <n v="711"/>
    <n v="817.3"/>
  </r>
  <r>
    <d v="2020-05-01T00:00:00"/>
    <x v="4"/>
    <x v="10"/>
    <n v="5446.5"/>
    <n v="505572"/>
    <n v="15"/>
    <n v="294"/>
    <n v="225"/>
    <n v="363.1"/>
  </r>
  <r>
    <d v="2020-05-12T00:00:00"/>
    <x v="1"/>
    <x v="10"/>
    <n v="11296.5"/>
    <n v="989632.5"/>
    <n v="15"/>
    <n v="624"/>
    <n v="538"/>
    <n v="753.1"/>
  </r>
  <r>
    <d v="2020-05-21T00:00:00"/>
    <x v="2"/>
    <x v="10"/>
    <n v="12135"/>
    <n v="1103623.5"/>
    <n v="15"/>
    <n v="749"/>
    <n v="652"/>
    <n v="809"/>
  </r>
  <r>
    <d v="2020-05-20T00:00:00"/>
    <x v="2"/>
    <x v="10"/>
    <n v="12630"/>
    <n v="1104858"/>
    <n v="15"/>
    <n v="760"/>
    <n v="664"/>
    <n v="842"/>
  </r>
  <r>
    <d v="2020-05-05T00:00:00"/>
    <x v="3"/>
    <x v="10"/>
    <n v="8223"/>
    <n v="694593"/>
    <n v="15"/>
    <n v="455"/>
    <n v="381"/>
    <n v="548.20000000000005"/>
  </r>
  <r>
    <d v="2020-04-28T00:00:00"/>
    <x v="4"/>
    <x v="11"/>
    <n v="25149"/>
    <n v="2277072"/>
    <n v="18"/>
    <n v="1505"/>
    <n v="1368"/>
    <n v="1397.1666666666667"/>
  </r>
  <r>
    <d v="2020-05-13T00:00:00"/>
    <x v="1"/>
    <x v="10"/>
    <n v="10401"/>
    <n v="949912.5"/>
    <n v="15"/>
    <n v="599"/>
    <n v="515"/>
    <n v="693.4"/>
  </r>
  <r>
    <d v="2020-05-31T00:00:00"/>
    <x v="0"/>
    <x v="9"/>
    <n v="17689.5"/>
    <n v="1592119.5"/>
    <n v="17"/>
    <n v="1186"/>
    <n v="1054"/>
    <n v="1040.5588235294117"/>
  </r>
  <r>
    <d v="2020-05-03T00:00:00"/>
    <x v="4"/>
    <x v="10"/>
    <n v="8127"/>
    <n v="665302.5"/>
    <n v="15"/>
    <n v="455"/>
    <n v="384"/>
    <n v="541.79999999999995"/>
  </r>
  <r>
    <d v="2020-05-30T00:00:00"/>
    <x v="0"/>
    <x v="9"/>
    <n v="27250.5"/>
    <n v="2457252"/>
    <n v="17"/>
    <n v="1697"/>
    <n v="1499"/>
    <n v="1602.9705882352941"/>
  </r>
  <r>
    <d v="2020-05-06T00:00:00"/>
    <x v="3"/>
    <x v="10"/>
    <n v="8464.5"/>
    <n v="739291.5"/>
    <n v="15"/>
    <n v="467"/>
    <n v="389"/>
    <n v="564.29999999999995"/>
  </r>
  <r>
    <d v="2020-05-23T00:00:00"/>
    <x v="2"/>
    <x v="10"/>
    <n v="14167.5"/>
    <n v="1315075.5"/>
    <n v="15"/>
    <n v="840"/>
    <n v="725"/>
    <n v="944.5"/>
  </r>
  <r>
    <d v="2020-05-28T00:00:00"/>
    <x v="0"/>
    <x v="9"/>
    <n v="16500"/>
    <n v="1487928"/>
    <n v="17"/>
    <n v="1097"/>
    <n v="968"/>
    <n v="970.58823529411768"/>
  </r>
  <r>
    <d v="2020-05-25T00:00:00"/>
    <x v="0"/>
    <x v="10"/>
    <n v="13260"/>
    <n v="1230687"/>
    <n v="15"/>
    <n v="835"/>
    <n v="736"/>
    <n v="884"/>
  </r>
  <r>
    <d v="2020-04-30T00:00:00"/>
    <x v="4"/>
    <x v="10"/>
    <n v="4285.5"/>
    <n v="404691"/>
    <n v="15"/>
    <n v="262"/>
    <n v="195"/>
    <n v="285.7"/>
  </r>
  <r>
    <d v="2020-05-10T00:00:00"/>
    <x v="3"/>
    <x v="10"/>
    <n v="13440"/>
    <n v="1198285.5"/>
    <n v="15"/>
    <n v="706"/>
    <n v="608"/>
    <n v="896"/>
  </r>
  <r>
    <d v="2020-05-08T00:00:00"/>
    <x v="3"/>
    <x v="10"/>
    <n v="9058.5"/>
    <n v="798759"/>
    <n v="15"/>
    <n v="492"/>
    <n v="412"/>
    <n v="603.9"/>
  </r>
  <r>
    <d v="2020-05-07T00:00:00"/>
    <x v="3"/>
    <x v="10"/>
    <n v="8719.5"/>
    <n v="769276.5"/>
    <n v="15"/>
    <n v="480"/>
    <n v="398"/>
    <n v="581.29999999999995"/>
  </r>
  <r>
    <d v="2020-05-24T00:00:00"/>
    <x v="2"/>
    <x v="10"/>
    <n v="12666"/>
    <n v="1184865"/>
    <n v="15"/>
    <n v="779"/>
    <n v="673"/>
    <n v="844.4"/>
  </r>
  <r>
    <d v="2020-05-16T00:00:00"/>
    <x v="1"/>
    <x v="11"/>
    <n v="34563"/>
    <n v="2922883.5"/>
    <n v="19"/>
    <n v="2039"/>
    <n v="1868"/>
    <n v="1819.1052631578948"/>
  </r>
  <r>
    <d v="2020-05-19T00:00:00"/>
    <x v="2"/>
    <x v="11"/>
    <n v="28882.5"/>
    <n v="2446530"/>
    <n v="19"/>
    <n v="1831"/>
    <n v="1667"/>
    <n v="1520.1315789473683"/>
  </r>
  <r>
    <d v="2020-05-17T00:00:00"/>
    <x v="1"/>
    <x v="11"/>
    <n v="28275"/>
    <n v="2435632.5"/>
    <n v="19"/>
    <n v="1790"/>
    <n v="1633"/>
    <n v="1488.1578947368421"/>
  </r>
  <r>
    <d v="2020-05-09T00:00:00"/>
    <x v="3"/>
    <x v="11"/>
    <n v="26271"/>
    <n v="2384937"/>
    <n v="19"/>
    <n v="1542"/>
    <n v="1412"/>
    <n v="1382.6842105263158"/>
  </r>
  <r>
    <d v="2020-05-04T00:00:00"/>
    <x v="3"/>
    <x v="11"/>
    <n v="23587.5"/>
    <n v="2155668"/>
    <n v="19"/>
    <n v="1479"/>
    <n v="1346"/>
    <n v="1241.4473684210527"/>
  </r>
  <r>
    <d v="2020-05-02T00:00:00"/>
    <x v="4"/>
    <x v="11"/>
    <n v="18427.5"/>
    <n v="1682851.5"/>
    <n v="19"/>
    <n v="1206"/>
    <n v="1080"/>
    <n v="969.86842105263156"/>
  </r>
  <r>
    <d v="2020-05-26T00:00:00"/>
    <x v="0"/>
    <x v="11"/>
    <n v="27156"/>
    <n v="2410803"/>
    <n v="20"/>
    <n v="1814"/>
    <n v="1655"/>
    <n v="1357.8"/>
  </r>
  <r>
    <d v="2020-05-01T00:00:00"/>
    <x v="4"/>
    <x v="11"/>
    <n v="35190"/>
    <n v="3168510"/>
    <n v="19"/>
    <n v="1987"/>
    <n v="1791"/>
    <n v="1852.1052631578948"/>
  </r>
  <r>
    <d v="2020-05-12T00:00:00"/>
    <x v="1"/>
    <x v="11"/>
    <n v="25483.5"/>
    <n v="2243160"/>
    <n v="19"/>
    <n v="1598"/>
    <n v="1454"/>
    <n v="1341.2368421052631"/>
  </r>
  <r>
    <d v="2020-05-21T00:00:00"/>
    <x v="2"/>
    <x v="11"/>
    <n v="25362"/>
    <n v="2198935.5"/>
    <n v="19"/>
    <n v="1650"/>
    <n v="1505"/>
    <n v="1334.8421052631579"/>
  </r>
  <r>
    <d v="2020-05-20T00:00:00"/>
    <x v="2"/>
    <x v="11"/>
    <n v="28849.5"/>
    <n v="2520759"/>
    <n v="19"/>
    <n v="1823"/>
    <n v="1678"/>
    <n v="1518.3947368421052"/>
  </r>
  <r>
    <d v="2020-05-05T00:00:00"/>
    <x v="3"/>
    <x v="11"/>
    <n v="26367"/>
    <n v="2380333.5"/>
    <n v="19"/>
    <n v="1622"/>
    <n v="1482"/>
    <n v="1387.7368421052631"/>
  </r>
  <r>
    <d v="2020-05-13T00:00:00"/>
    <x v="1"/>
    <x v="11"/>
    <n v="25539"/>
    <n v="2263651.5"/>
    <n v="19"/>
    <n v="1605"/>
    <n v="1447"/>
    <n v="1344.1578947368421"/>
  </r>
  <r>
    <d v="2020-05-31T00:00:00"/>
    <x v="0"/>
    <x v="10"/>
    <n v="14808"/>
    <n v="1336789.5"/>
    <n v="16"/>
    <n v="917"/>
    <n v="802"/>
    <n v="925.5"/>
  </r>
  <r>
    <d v="2020-05-03T00:00:00"/>
    <x v="4"/>
    <x v="11"/>
    <n v="21343.5"/>
    <n v="1906557"/>
    <n v="19"/>
    <n v="1314"/>
    <n v="1192"/>
    <n v="1123.3421052631579"/>
  </r>
  <r>
    <d v="2020-05-30T00:00:00"/>
    <x v="0"/>
    <x v="10"/>
    <n v="17946"/>
    <n v="1609090.5"/>
    <n v="16"/>
    <n v="1048"/>
    <n v="918"/>
    <n v="1121.625"/>
  </r>
  <r>
    <d v="2020-05-06T00:00:00"/>
    <x v="3"/>
    <x v="11"/>
    <n v="24337.5"/>
    <n v="2159350.5"/>
    <n v="19"/>
    <n v="1509"/>
    <n v="1374"/>
    <n v="1280.921052631579"/>
  </r>
  <r>
    <d v="2020-05-23T00:00:00"/>
    <x v="2"/>
    <x v="11"/>
    <n v="36997.5"/>
    <n v="3089140.5"/>
    <n v="19"/>
    <n v="2195"/>
    <n v="1999"/>
    <n v="1947.2368421052631"/>
  </r>
  <r>
    <d v="2020-05-28T00:00:00"/>
    <x v="0"/>
    <x v="10"/>
    <n v="13864.5"/>
    <n v="1239747"/>
    <n v="16"/>
    <n v="876"/>
    <n v="762"/>
    <n v="866.53125"/>
  </r>
  <r>
    <d v="2020-05-25T00:00:00"/>
    <x v="0"/>
    <x v="11"/>
    <n v="28494"/>
    <n v="2512803"/>
    <n v="20"/>
    <n v="1899"/>
    <n v="1738"/>
    <n v="1424.7"/>
  </r>
  <r>
    <d v="2020-04-30T00:00:00"/>
    <x v="4"/>
    <x v="11"/>
    <n v="27883.5"/>
    <n v="2560080"/>
    <n v="19"/>
    <n v="1662"/>
    <n v="1506"/>
    <n v="1467.5526315789473"/>
  </r>
  <r>
    <d v="2020-05-10T00:00:00"/>
    <x v="3"/>
    <x v="11"/>
    <n v="31224"/>
    <n v="2767270.5"/>
    <n v="19"/>
    <n v="1836"/>
    <n v="1680"/>
    <n v="1643.3684210526317"/>
  </r>
  <r>
    <d v="2020-05-08T00:00:00"/>
    <x v="3"/>
    <x v="11"/>
    <n v="25020"/>
    <n v="2235960"/>
    <n v="19"/>
    <n v="1520"/>
    <n v="1380"/>
    <n v="1316.8421052631579"/>
  </r>
  <r>
    <d v="2020-05-07T00:00:00"/>
    <x v="3"/>
    <x v="11"/>
    <n v="26184"/>
    <n v="2308336.5"/>
    <n v="19"/>
    <n v="1580"/>
    <n v="1435"/>
    <n v="1378.1052631578948"/>
  </r>
  <r>
    <d v="2020-05-24T00:00:00"/>
    <x v="2"/>
    <x v="11"/>
    <n v="29824.5"/>
    <n v="2526909"/>
    <n v="19"/>
    <n v="1868"/>
    <n v="1706"/>
    <n v="1569.7105263157894"/>
  </r>
  <r>
    <d v="2020-04-29T00:00:00"/>
    <x v="4"/>
    <x v="12"/>
    <n v="208351.5"/>
    <n v="21615333"/>
    <n v="59"/>
    <n v="13186"/>
    <n v="12251"/>
    <n v="3531.3813559322034"/>
  </r>
  <r>
    <d v="2020-04-28T00:00:00"/>
    <x v="4"/>
    <x v="12"/>
    <n v="204637.5"/>
    <n v="21114898.5"/>
    <n v="59"/>
    <n v="12943"/>
    <n v="12072"/>
    <n v="3468.4322033898306"/>
  </r>
  <r>
    <d v="2020-05-31T00:00:00"/>
    <x v="0"/>
    <x v="11"/>
    <n v="31372.5"/>
    <n v="2794324.5"/>
    <n v="21"/>
    <n v="2056"/>
    <n v="1879"/>
    <n v="1493.9285714285713"/>
  </r>
  <r>
    <d v="2020-05-30T00:00:00"/>
    <x v="0"/>
    <x v="11"/>
    <n v="34681.5"/>
    <n v="3005334"/>
    <n v="20"/>
    <n v="2174"/>
    <n v="1957"/>
    <n v="1734.075"/>
  </r>
  <r>
    <d v="2020-05-28T00:00:00"/>
    <x v="0"/>
    <x v="11"/>
    <n v="28197"/>
    <n v="2559211.5"/>
    <n v="20"/>
    <n v="1875"/>
    <n v="1701"/>
    <n v="1409.85"/>
  </r>
  <r>
    <d v="2020-05-16T00:00:00"/>
    <x v="1"/>
    <x v="12"/>
    <n v="236551.5"/>
    <n v="23689383"/>
    <n v="60"/>
    <n v="14049"/>
    <n v="13118"/>
    <n v="3942.5250000000001"/>
  </r>
  <r>
    <d v="2020-05-19T00:00:00"/>
    <x v="2"/>
    <x v="12"/>
    <n v="223597.5"/>
    <n v="21945858"/>
    <n v="60"/>
    <n v="13867"/>
    <n v="12987"/>
    <n v="3726.625"/>
  </r>
  <r>
    <d v="2020-05-17T00:00:00"/>
    <x v="1"/>
    <x v="12"/>
    <n v="193363.5"/>
    <n v="19546386"/>
    <n v="60"/>
    <n v="11698"/>
    <n v="10989"/>
    <n v="3222.7249999999999"/>
  </r>
  <r>
    <d v="2020-05-09T00:00:00"/>
    <x v="3"/>
    <x v="12"/>
    <n v="188319"/>
    <n v="19218631.5"/>
    <n v="59"/>
    <n v="12016"/>
    <n v="11137"/>
    <n v="3191.8474576271187"/>
  </r>
  <r>
    <d v="2020-05-04T00:00:00"/>
    <x v="3"/>
    <x v="12"/>
    <n v="237544.5"/>
    <n v="24292218"/>
    <n v="59"/>
    <n v="14423"/>
    <n v="13432"/>
    <n v="4026.1779661016949"/>
  </r>
  <r>
    <d v="2020-04-29T00:00:00"/>
    <x v="4"/>
    <x v="13"/>
    <n v="203209.5"/>
    <n v="20871391.5"/>
    <n v="54"/>
    <n v="12747"/>
    <n v="11884"/>
    <n v="3763.1388888888887"/>
  </r>
  <r>
    <d v="2020-05-02T00:00:00"/>
    <x v="4"/>
    <x v="12"/>
    <n v="185979"/>
    <n v="19625364"/>
    <n v="59"/>
    <n v="12429"/>
    <n v="11477"/>
    <n v="3152.1864406779659"/>
  </r>
  <r>
    <d v="2020-05-26T00:00:00"/>
    <x v="0"/>
    <x v="12"/>
    <n v="244905"/>
    <n v="25163431.5"/>
    <n v="59"/>
    <n v="15369"/>
    <n v="14299"/>
    <n v="4150.9322033898306"/>
  </r>
  <r>
    <d v="2020-05-01T00:00:00"/>
    <x v="4"/>
    <x v="12"/>
    <n v="239409"/>
    <n v="25413351"/>
    <n v="59"/>
    <n v="15222"/>
    <n v="13873"/>
    <n v="4057.7796610169494"/>
  </r>
  <r>
    <d v="2020-05-12T00:00:00"/>
    <x v="1"/>
    <x v="12"/>
    <n v="192886.5"/>
    <n v="19205179.5"/>
    <n v="60"/>
    <n v="12000"/>
    <n v="11194"/>
    <n v="3214.7750000000001"/>
  </r>
  <r>
    <d v="2020-05-21T00:00:00"/>
    <x v="2"/>
    <x v="12"/>
    <n v="224233.5"/>
    <n v="22253295"/>
    <n v="60"/>
    <n v="14005"/>
    <n v="13002"/>
    <n v="3737.2249999999999"/>
  </r>
  <r>
    <d v="2020-05-20T00:00:00"/>
    <x v="2"/>
    <x v="12"/>
    <n v="219622.5"/>
    <n v="21959286"/>
    <n v="60"/>
    <n v="13792"/>
    <n v="12834"/>
    <n v="3660.375"/>
  </r>
  <r>
    <d v="2020-05-05T00:00:00"/>
    <x v="3"/>
    <x v="12"/>
    <n v="213582"/>
    <n v="21919435.5"/>
    <n v="59"/>
    <n v="13469"/>
    <n v="12486"/>
    <n v="3620.0338983050847"/>
  </r>
  <r>
    <d v="2020-04-28T00:00:00"/>
    <x v="4"/>
    <x v="13"/>
    <n v="195705"/>
    <n v="20003263.5"/>
    <n v="54"/>
    <n v="12306"/>
    <n v="11532"/>
    <n v="3624.1666666666665"/>
  </r>
  <r>
    <d v="2020-05-13T00:00:00"/>
    <x v="1"/>
    <x v="12"/>
    <n v="193722"/>
    <n v="19437273"/>
    <n v="60"/>
    <n v="12007"/>
    <n v="11245"/>
    <n v="3228.7"/>
  </r>
  <r>
    <d v="2020-05-03T00:00:00"/>
    <x v="4"/>
    <x v="12"/>
    <n v="257215.5"/>
    <n v="26492278.5"/>
    <n v="59"/>
    <n v="15277"/>
    <n v="14163"/>
    <n v="4359.5847457627115"/>
  </r>
  <r>
    <d v="2020-05-06T00:00:00"/>
    <x v="3"/>
    <x v="12"/>
    <n v="224779.5"/>
    <n v="23032992"/>
    <n v="59"/>
    <n v="14103"/>
    <n v="13118"/>
    <n v="3809.8220338983051"/>
  </r>
  <r>
    <d v="2020-05-23T00:00:00"/>
    <x v="2"/>
    <x v="12"/>
    <n v="292018.5"/>
    <n v="28590910.5"/>
    <n v="60"/>
    <n v="17295"/>
    <n v="16010"/>
    <n v="4866.9750000000004"/>
  </r>
  <r>
    <d v="2020-05-25T00:00:00"/>
    <x v="0"/>
    <x v="12"/>
    <n v="198751.5"/>
    <n v="20582743.5"/>
    <n v="59"/>
    <n v="12983"/>
    <n v="12056"/>
    <n v="3368.6694915254238"/>
  </r>
  <r>
    <d v="2020-04-30T00:00:00"/>
    <x v="4"/>
    <x v="12"/>
    <n v="214386"/>
    <n v="22530000"/>
    <n v="59"/>
    <n v="13251"/>
    <n v="12255"/>
    <n v="3633.6610169491523"/>
  </r>
  <r>
    <d v="2020-05-10T00:00:00"/>
    <x v="3"/>
    <x v="12"/>
    <n v="243825"/>
    <n v="24890404.5"/>
    <n v="59"/>
    <n v="14569"/>
    <n v="13566"/>
    <n v="4132.6271186440681"/>
  </r>
  <r>
    <d v="2020-05-08T00:00:00"/>
    <x v="3"/>
    <x v="12"/>
    <n v="232701"/>
    <n v="23881948.5"/>
    <n v="59"/>
    <n v="14098"/>
    <n v="13106"/>
    <n v="3944.0847457627119"/>
  </r>
  <r>
    <d v="2020-05-07T00:00:00"/>
    <x v="3"/>
    <x v="12"/>
    <n v="219411"/>
    <n v="22460130"/>
    <n v="59"/>
    <n v="13495"/>
    <n v="12517"/>
    <n v="3718.8305084745762"/>
  </r>
  <r>
    <d v="2020-05-24T00:00:00"/>
    <x v="2"/>
    <x v="12"/>
    <n v="200029.5"/>
    <n v="19959801"/>
    <n v="60"/>
    <n v="12822"/>
    <n v="11916"/>
    <n v="3333.8249999999998"/>
  </r>
  <r>
    <d v="2020-05-16T00:00:00"/>
    <x v="1"/>
    <x v="13"/>
    <n v="225480"/>
    <n v="22355338.5"/>
    <n v="54"/>
    <n v="13170"/>
    <n v="12299"/>
    <n v="4175.5555555555557"/>
  </r>
  <r>
    <d v="2020-05-19T00:00:00"/>
    <x v="2"/>
    <x v="13"/>
    <n v="211453.5"/>
    <n v="20590072.5"/>
    <n v="54"/>
    <n v="13070"/>
    <n v="12244"/>
    <n v="3915.8055555555557"/>
  </r>
  <r>
    <d v="2020-05-17T00:00:00"/>
    <x v="1"/>
    <x v="13"/>
    <n v="184801.5"/>
    <n v="18449091"/>
    <n v="54"/>
    <n v="11128"/>
    <n v="10467"/>
    <n v="3422.25"/>
  </r>
  <r>
    <d v="2020-05-09T00:00:00"/>
    <x v="3"/>
    <x v="13"/>
    <n v="177976.5"/>
    <n v="18085798.5"/>
    <n v="54"/>
    <n v="11288"/>
    <n v="10492"/>
    <n v="3295.8611111111113"/>
  </r>
  <r>
    <d v="2020-05-04T00:00:00"/>
    <x v="3"/>
    <x v="13"/>
    <n v="223617"/>
    <n v="22796827.5"/>
    <n v="54"/>
    <n v="13606"/>
    <n v="12697"/>
    <n v="4141.0555555555557"/>
  </r>
  <r>
    <d v="2020-05-02T00:00:00"/>
    <x v="4"/>
    <x v="13"/>
    <n v="176397"/>
    <n v="18625921.5"/>
    <n v="54"/>
    <n v="11622"/>
    <n v="10754"/>
    <n v="3266.6111111111113"/>
  </r>
  <r>
    <d v="2020-05-26T00:00:00"/>
    <x v="0"/>
    <x v="13"/>
    <n v="232369.5"/>
    <n v="23856345"/>
    <n v="54"/>
    <n v="14482"/>
    <n v="13510"/>
    <n v="4303.1388888888887"/>
  </r>
  <r>
    <d v="2020-05-01T00:00:00"/>
    <x v="4"/>
    <x v="13"/>
    <n v="226540.5"/>
    <n v="23953536"/>
    <n v="54"/>
    <n v="14205"/>
    <n v="13026"/>
    <n v="4195.1944444444443"/>
  </r>
  <r>
    <d v="2020-05-12T00:00:00"/>
    <x v="1"/>
    <x v="13"/>
    <n v="189679.5"/>
    <n v="18718036.5"/>
    <n v="54"/>
    <n v="11614"/>
    <n v="10862"/>
    <n v="3512.5833333333335"/>
  </r>
  <r>
    <d v="2020-05-21T00:00:00"/>
    <x v="2"/>
    <x v="13"/>
    <n v="213640.5"/>
    <n v="21042673.5"/>
    <n v="54"/>
    <n v="13240"/>
    <n v="12360"/>
    <n v="3956.3055555555557"/>
  </r>
  <r>
    <d v="2020-05-20T00:00:00"/>
    <x v="2"/>
    <x v="13"/>
    <n v="214885.5"/>
    <n v="21411349.5"/>
    <n v="54"/>
    <n v="13298"/>
    <n v="12428"/>
    <n v="3979.3611111111113"/>
  </r>
  <r>
    <d v="2020-05-05T00:00:00"/>
    <x v="3"/>
    <x v="13"/>
    <n v="203832"/>
    <n v="20880142.5"/>
    <n v="54"/>
    <n v="12775"/>
    <n v="11887"/>
    <n v="3774.6666666666665"/>
  </r>
  <r>
    <d v="2020-05-13T00:00:00"/>
    <x v="1"/>
    <x v="13"/>
    <n v="188662.5"/>
    <n v="18784000.5"/>
    <n v="54"/>
    <n v="11522"/>
    <n v="10803"/>
    <n v="3493.75"/>
  </r>
  <r>
    <d v="2020-05-31T00:00:00"/>
    <x v="0"/>
    <x v="12"/>
    <n v="215277"/>
    <n v="21585316.5"/>
    <n v="59"/>
    <n v="13684"/>
    <n v="12690"/>
    <n v="3648.7627118644068"/>
  </r>
  <r>
    <d v="2020-05-03T00:00:00"/>
    <x v="4"/>
    <x v="13"/>
    <n v="248148"/>
    <n v="25519072.5"/>
    <n v="54"/>
    <n v="14823"/>
    <n v="13751"/>
    <n v="4595.333333333333"/>
  </r>
  <r>
    <d v="2020-05-30T00:00:00"/>
    <x v="0"/>
    <x v="12"/>
    <n v="246414"/>
    <n v="24527245.5"/>
    <n v="59"/>
    <n v="15030"/>
    <n v="13956"/>
    <n v="4176.5084745762715"/>
  </r>
  <r>
    <d v="2020-05-06T00:00:00"/>
    <x v="3"/>
    <x v="13"/>
    <n v="216498"/>
    <n v="22126444.5"/>
    <n v="54"/>
    <n v="13406"/>
    <n v="12518"/>
    <n v="4009.2222222222222"/>
  </r>
  <r>
    <d v="2020-05-23T00:00:00"/>
    <x v="2"/>
    <x v="13"/>
    <n v="275793"/>
    <n v="26806626"/>
    <n v="54"/>
    <n v="16221"/>
    <n v="15065"/>
    <n v="5107.2777777777774"/>
  </r>
  <r>
    <d v="2020-05-28T00:00:00"/>
    <x v="0"/>
    <x v="12"/>
    <n v="199753.5"/>
    <n v="20535733.5"/>
    <n v="60"/>
    <n v="12854"/>
    <n v="11954"/>
    <n v="3329.2249999999999"/>
  </r>
  <r>
    <d v="2020-05-25T00:00:00"/>
    <x v="0"/>
    <x v="13"/>
    <n v="192948"/>
    <n v="19806927"/>
    <n v="54"/>
    <n v="12336"/>
    <n v="11519"/>
    <n v="3573.1111111111113"/>
  </r>
  <r>
    <d v="2020-04-30T00:00:00"/>
    <x v="4"/>
    <x v="13"/>
    <n v="206038.5"/>
    <n v="21740460"/>
    <n v="54"/>
    <n v="12817"/>
    <n v="11865"/>
    <n v="3815.5277777777778"/>
  </r>
  <r>
    <d v="2020-05-10T00:00:00"/>
    <x v="3"/>
    <x v="13"/>
    <n v="231559.5"/>
    <n v="23443725"/>
    <n v="54"/>
    <n v="13832"/>
    <n v="12864"/>
    <n v="4288.1388888888887"/>
  </r>
  <r>
    <d v="2020-05-08T00:00:00"/>
    <x v="3"/>
    <x v="13"/>
    <n v="225076.5"/>
    <n v="22846078.5"/>
    <n v="54"/>
    <n v="13563"/>
    <n v="12604"/>
    <n v="4168.083333333333"/>
  </r>
  <r>
    <d v="2020-05-07T00:00:00"/>
    <x v="3"/>
    <x v="13"/>
    <n v="209415"/>
    <n v="21463023"/>
    <n v="54"/>
    <n v="12743"/>
    <n v="11858"/>
    <n v="3878.0555555555557"/>
  </r>
  <r>
    <d v="2020-05-24T00:00:00"/>
    <x v="2"/>
    <x v="13"/>
    <n v="193719"/>
    <n v="19071117"/>
    <n v="54"/>
    <n v="12211"/>
    <n v="11427"/>
    <n v="3587.3888888888887"/>
  </r>
  <r>
    <d v="2020-04-29T00:00:00"/>
    <x v="4"/>
    <x v="14"/>
    <n v="12250.5"/>
    <n v="981519"/>
    <n v="15"/>
    <n v="659"/>
    <n v="575"/>
    <n v="816.7"/>
  </r>
  <r>
    <d v="2020-04-28T00:00:00"/>
    <x v="4"/>
    <x v="14"/>
    <n v="12541.5"/>
    <n v="992541"/>
    <n v="15"/>
    <n v="636"/>
    <n v="547"/>
    <n v="836.1"/>
  </r>
  <r>
    <d v="2020-05-31T00:00:00"/>
    <x v="0"/>
    <x v="13"/>
    <n v="206758.5"/>
    <n v="20717248.5"/>
    <n v="54"/>
    <n v="13106"/>
    <n v="12164"/>
    <n v="3828.8611111111113"/>
  </r>
  <r>
    <d v="2020-05-30T00:00:00"/>
    <x v="0"/>
    <x v="13"/>
    <n v="244734"/>
    <n v="24151980"/>
    <n v="54"/>
    <n v="14590"/>
    <n v="13551"/>
    <n v="4532.1111111111113"/>
  </r>
  <r>
    <d v="2020-05-28T00:00:00"/>
    <x v="0"/>
    <x v="13"/>
    <n v="191641.5"/>
    <n v="19549036.5"/>
    <n v="54"/>
    <n v="12409"/>
    <n v="11582"/>
    <n v="3548.9166666666665"/>
  </r>
  <r>
    <d v="2020-05-16T00:00:00"/>
    <x v="1"/>
    <x v="14"/>
    <n v="16368"/>
    <n v="1316350.5"/>
    <n v="16"/>
    <n v="920"/>
    <n v="818"/>
    <n v="1023"/>
  </r>
  <r>
    <d v="2020-05-19T00:00:00"/>
    <x v="2"/>
    <x v="14"/>
    <n v="14427"/>
    <n v="1126810.5"/>
    <n v="17"/>
    <n v="857"/>
    <n v="757"/>
    <n v="848.64705882352939"/>
  </r>
  <r>
    <d v="2020-05-17T00:00:00"/>
    <x v="1"/>
    <x v="14"/>
    <n v="13440"/>
    <n v="1157529"/>
    <n v="16"/>
    <n v="859"/>
    <n v="746"/>
    <n v="840"/>
  </r>
  <r>
    <d v="2020-05-09T00:00:00"/>
    <x v="3"/>
    <x v="14"/>
    <n v="11745"/>
    <n v="955801.5"/>
    <n v="15"/>
    <n v="654"/>
    <n v="570"/>
    <n v="783"/>
  </r>
  <r>
    <d v="2020-05-04T00:00:00"/>
    <x v="3"/>
    <x v="14"/>
    <n v="11062.5"/>
    <n v="906343.5"/>
    <n v="15"/>
    <n v="622"/>
    <n v="538"/>
    <n v="737.5"/>
  </r>
  <r>
    <d v="2020-05-02T00:00:00"/>
    <x v="4"/>
    <x v="14"/>
    <n v="10018.5"/>
    <n v="816859.5"/>
    <n v="15"/>
    <n v="567"/>
    <n v="493"/>
    <n v="667.9"/>
  </r>
  <r>
    <d v="2020-05-26T00:00:00"/>
    <x v="0"/>
    <x v="15"/>
    <n v="10437"/>
    <n v="833815.5"/>
    <n v="7"/>
    <n v="577"/>
    <n v="389"/>
    <n v="1491"/>
  </r>
  <r>
    <d v="2020-05-01T00:00:00"/>
    <x v="4"/>
    <x v="14"/>
    <n v="13644"/>
    <n v="1134444"/>
    <n v="15"/>
    <n v="721"/>
    <n v="625"/>
    <n v="909.6"/>
  </r>
  <r>
    <d v="2020-05-12T00:00:00"/>
    <x v="1"/>
    <x v="14"/>
    <n v="13443"/>
    <n v="1092277.5"/>
    <n v="15"/>
    <n v="750"/>
    <n v="659"/>
    <n v="896.2"/>
  </r>
  <r>
    <d v="2020-05-21T00:00:00"/>
    <x v="2"/>
    <x v="14"/>
    <n v="14182.5"/>
    <n v="1172574"/>
    <n v="18"/>
    <n v="888"/>
    <n v="786"/>
    <n v="787.91666666666663"/>
  </r>
  <r>
    <d v="2020-05-20T00:00:00"/>
    <x v="2"/>
    <x v="14"/>
    <n v="14928"/>
    <n v="1217749.5"/>
    <n v="17"/>
    <n v="890"/>
    <n v="794"/>
    <n v="878.11764705882354"/>
  </r>
  <r>
    <d v="2020-05-05T00:00:00"/>
    <x v="3"/>
    <x v="14"/>
    <n v="13941"/>
    <n v="1145575.5"/>
    <n v="15"/>
    <n v="750"/>
    <n v="658"/>
    <n v="929.4"/>
  </r>
  <r>
    <d v="2020-05-13T00:00:00"/>
    <x v="1"/>
    <x v="14"/>
    <n v="14643"/>
    <n v="1172691"/>
    <n v="15"/>
    <n v="854"/>
    <n v="756"/>
    <n v="976.2"/>
  </r>
  <r>
    <d v="2020-05-03T00:00:00"/>
    <x v="4"/>
    <x v="14"/>
    <n v="10032"/>
    <n v="816150"/>
    <n v="15"/>
    <n v="585"/>
    <n v="502"/>
    <n v="668.8"/>
  </r>
  <r>
    <d v="2020-05-06T00:00:00"/>
    <x v="3"/>
    <x v="14"/>
    <n v="12468"/>
    <n v="1016566.5"/>
    <n v="15"/>
    <n v="701"/>
    <n v="611"/>
    <n v="831.2"/>
  </r>
  <r>
    <d v="2020-05-23T00:00:00"/>
    <x v="2"/>
    <x v="14"/>
    <n v="17943"/>
    <n v="1457391"/>
    <n v="18"/>
    <n v="1031"/>
    <n v="918"/>
    <n v="996.83333333333337"/>
  </r>
  <r>
    <d v="2020-05-25T00:00:00"/>
    <x v="0"/>
    <x v="14"/>
    <n v="15807"/>
    <n v="1326705"/>
    <n v="18"/>
    <n v="989"/>
    <n v="887"/>
    <n v="878.16666666666663"/>
  </r>
  <r>
    <d v="2020-04-30T00:00:00"/>
    <x v="4"/>
    <x v="14"/>
    <n v="11976"/>
    <n v="1004511"/>
    <n v="15"/>
    <n v="644"/>
    <n v="550"/>
    <n v="798.4"/>
  </r>
  <r>
    <d v="2020-05-10T00:00:00"/>
    <x v="3"/>
    <x v="14"/>
    <n v="14566.5"/>
    <n v="1216557"/>
    <n v="15"/>
    <n v="792"/>
    <n v="695"/>
    <n v="971.1"/>
  </r>
  <r>
    <d v="2020-05-08T00:00:00"/>
    <x v="3"/>
    <x v="14"/>
    <n v="12976.5"/>
    <n v="1046848.5"/>
    <n v="15"/>
    <n v="703"/>
    <n v="609"/>
    <n v="865.1"/>
  </r>
  <r>
    <d v="2020-05-07T00:00:00"/>
    <x v="3"/>
    <x v="14"/>
    <n v="11719.5"/>
    <n v="965880"/>
    <n v="15"/>
    <n v="676"/>
    <n v="591"/>
    <n v="781.3"/>
  </r>
  <r>
    <d v="2020-05-24T00:00:00"/>
    <x v="2"/>
    <x v="14"/>
    <n v="17197.5"/>
    <n v="1386262.5"/>
    <n v="18"/>
    <n v="1006"/>
    <n v="904"/>
    <n v="955.41666666666663"/>
  </r>
  <r>
    <d v="2020-05-26T00:00:00"/>
    <x v="0"/>
    <x v="14"/>
    <n v="14419.5"/>
    <n v="1210456.5"/>
    <n v="18"/>
    <n v="914"/>
    <n v="804"/>
    <n v="801.08333333333337"/>
  </r>
  <r>
    <d v="2020-06-01T00:00:00"/>
    <x v="5"/>
    <x v="0"/>
    <n v="7816.5"/>
    <n v="636345"/>
    <n v="15"/>
    <n v="453"/>
    <n v="370"/>
    <n v="521.1"/>
  </r>
  <r>
    <d v="2020-05-31T00:00:00"/>
    <x v="0"/>
    <x v="16"/>
    <n v="6409.5"/>
    <n v="493893"/>
    <n v="9"/>
    <n v="345"/>
    <n v="255"/>
    <n v="712.16666666666663"/>
  </r>
  <r>
    <d v="2020-05-30T00:00:00"/>
    <x v="0"/>
    <x v="15"/>
    <n v="11220"/>
    <n v="928675.5"/>
    <n v="7"/>
    <n v="532"/>
    <n v="449"/>
    <n v="1602.8571428571429"/>
  </r>
  <r>
    <d v="2020-05-29T00:00:00"/>
    <x v="0"/>
    <x v="0"/>
    <n v="8350.5"/>
    <n v="651237"/>
    <n v="15"/>
    <n v="400"/>
    <n v="329"/>
    <n v="556.70000000000005"/>
  </r>
  <r>
    <d v="2020-05-28T00:00:00"/>
    <x v="0"/>
    <x v="15"/>
    <n v="8428.5"/>
    <n v="694669.5"/>
    <n v="7"/>
    <n v="420"/>
    <n v="347"/>
    <n v="1204.0714285714287"/>
  </r>
  <r>
    <d v="2020-05-27T00:00:00"/>
    <x v="0"/>
    <x v="1"/>
    <n v="32817"/>
    <n v="3015751.5"/>
    <n v="20"/>
    <n v="2079"/>
    <n v="1893"/>
    <n v="1640.85"/>
  </r>
  <r>
    <d v="2020-05-22T00:00:00"/>
    <x v="2"/>
    <x v="1"/>
    <n v="36031.5"/>
    <n v="3091069.5"/>
    <n v="21"/>
    <n v="2046"/>
    <n v="1853"/>
    <n v="1715.7857142857142"/>
  </r>
  <r>
    <d v="2020-05-31T00:00:00"/>
    <x v="0"/>
    <x v="17"/>
    <n v="5127"/>
    <n v="468835.5"/>
    <n v="6"/>
    <n v="261"/>
    <n v="188"/>
    <n v="854.5"/>
  </r>
  <r>
    <d v="2020-05-11T00:00:00"/>
    <x v="1"/>
    <x v="1"/>
    <n v="27187.5"/>
    <n v="2479396.5"/>
    <n v="21"/>
    <n v="1597"/>
    <n v="1457"/>
    <n v="1294.6428571428571"/>
  </r>
  <r>
    <d v="2020-05-30T00:00:00"/>
    <x v="0"/>
    <x v="14"/>
    <n v="20688"/>
    <n v="1773154.5"/>
    <n v="18"/>
    <n v="1216"/>
    <n v="1101"/>
    <n v="1149.3333333333333"/>
  </r>
  <r>
    <d v="2020-05-28T00:00:00"/>
    <x v="0"/>
    <x v="14"/>
    <n v="15678"/>
    <n v="1387443"/>
    <n v="18"/>
    <n v="1020"/>
    <n v="911"/>
    <n v="871"/>
  </r>
  <r>
    <d v="2020-05-18T00:00:00"/>
    <x v="2"/>
    <x v="1"/>
    <n v="31329"/>
    <n v="2826379.5"/>
    <n v="21"/>
    <n v="1834"/>
    <n v="1660"/>
    <n v="1491.8571428571429"/>
  </r>
  <r>
    <d v="2020-05-14T00:00:00"/>
    <x v="1"/>
    <x v="1"/>
    <n v="29658"/>
    <n v="2703132"/>
    <n v="21"/>
    <n v="1706"/>
    <n v="1548"/>
    <n v="1412.2857142857142"/>
  </r>
  <r>
    <d v="2020-05-15T00:00:00"/>
    <x v="1"/>
    <x v="1"/>
    <n v="34150.5"/>
    <n v="3038293.5"/>
    <n v="21"/>
    <n v="1926"/>
    <n v="1742"/>
    <n v="1626.2142857142858"/>
  </r>
  <r>
    <d v="2020-06-01T00:00:00"/>
    <x v="5"/>
    <x v="1"/>
    <n v="31947"/>
    <n v="2945035.5"/>
    <n v="21"/>
    <n v="2025"/>
    <n v="1849"/>
    <n v="1521.2857142857142"/>
  </r>
  <r>
    <d v="2020-05-31T00:00:00"/>
    <x v="0"/>
    <x v="15"/>
    <n v="10416"/>
    <n v="866023.5"/>
    <n v="7"/>
    <n v="530"/>
    <n v="447"/>
    <n v="1488"/>
  </r>
  <r>
    <d v="2020-05-29T00:00:00"/>
    <x v="0"/>
    <x v="1"/>
    <n v="35431.5"/>
    <n v="3193167"/>
    <n v="20"/>
    <n v="2111"/>
    <n v="1917"/>
    <n v="1771.575"/>
  </r>
  <r>
    <d v="2020-05-27T00:00:00"/>
    <x v="0"/>
    <x v="2"/>
    <n v="78544.5"/>
    <n v="6701083.5"/>
    <n v="31"/>
    <n v="5330"/>
    <n v="4977"/>
    <n v="2533.6935483870966"/>
  </r>
  <r>
    <d v="2020-05-22T00:00:00"/>
    <x v="2"/>
    <x v="2"/>
    <n v="97963.5"/>
    <n v="7728465"/>
    <n v="31"/>
    <n v="5965"/>
    <n v="5533"/>
    <n v="3160.1129032258063"/>
  </r>
  <r>
    <d v="2020-06-01T00:00:00"/>
    <x v="5"/>
    <x v="2"/>
    <n v="77269.5"/>
    <n v="6829921.5"/>
    <n v="31"/>
    <n v="5468"/>
    <n v="5081"/>
    <n v="2492.5645161290322"/>
  </r>
  <r>
    <d v="2020-05-31T00:00:00"/>
    <x v="0"/>
    <x v="14"/>
    <n v="16143"/>
    <n v="1423410"/>
    <n v="18"/>
    <n v="1029"/>
    <n v="925"/>
    <n v="896.83333333333337"/>
  </r>
  <r>
    <d v="2020-05-11T00:00:00"/>
    <x v="1"/>
    <x v="2"/>
    <n v="72220.5"/>
    <n v="6398719.5"/>
    <n v="31"/>
    <n v="4826"/>
    <n v="4483"/>
    <n v="2329.6935483870966"/>
  </r>
  <r>
    <d v="2020-05-18T00:00:00"/>
    <x v="2"/>
    <x v="2"/>
    <n v="78058.5"/>
    <n v="6609714"/>
    <n v="31"/>
    <n v="5165"/>
    <n v="4813"/>
    <n v="2518.016129032258"/>
  </r>
  <r>
    <d v="2020-05-14T00:00:00"/>
    <x v="1"/>
    <x v="2"/>
    <n v="70498.5"/>
    <n v="6053649"/>
    <n v="31"/>
    <n v="4695"/>
    <n v="4372"/>
    <n v="2274.1451612903224"/>
  </r>
  <r>
    <d v="2020-05-15T00:00:00"/>
    <x v="1"/>
    <x v="2"/>
    <n v="78961.5"/>
    <n v="6876454.5"/>
    <n v="31"/>
    <n v="5184"/>
    <n v="4778"/>
    <n v="2547.1451612903224"/>
  </r>
  <r>
    <d v="2020-05-27T00:00:00"/>
    <x v="0"/>
    <x v="3"/>
    <n v="12490.5"/>
    <n v="1054798.5"/>
    <n v="10"/>
    <n v="757"/>
    <n v="660"/>
    <n v="1249.05"/>
  </r>
  <r>
    <d v="2020-05-22T00:00:00"/>
    <x v="2"/>
    <x v="3"/>
    <n v="18036"/>
    <n v="1455049.5"/>
    <n v="10"/>
    <n v="965"/>
    <n v="861"/>
    <n v="1803.6"/>
  </r>
  <r>
    <d v="2020-06-01T00:00:00"/>
    <x v="5"/>
    <x v="3"/>
    <n v="11416.5"/>
    <n v="1007742"/>
    <n v="10"/>
    <n v="719"/>
    <n v="627"/>
    <n v="1141.6500000000001"/>
  </r>
  <r>
    <d v="2020-05-11T00:00:00"/>
    <x v="1"/>
    <x v="3"/>
    <n v="9007.5"/>
    <n v="734335.5"/>
    <n v="10"/>
    <n v="494"/>
    <n v="421"/>
    <n v="900.75"/>
  </r>
  <r>
    <d v="2020-05-29T00:00:00"/>
    <x v="0"/>
    <x v="2"/>
    <n v="87552"/>
    <n v="7387116"/>
    <n v="31"/>
    <n v="5751"/>
    <n v="5319"/>
    <n v="2824.2580645161293"/>
  </r>
  <r>
    <d v="2020-05-18T00:00:00"/>
    <x v="2"/>
    <x v="3"/>
    <n v="11680.5"/>
    <n v="936427.5"/>
    <n v="10"/>
    <n v="645"/>
    <n v="565"/>
    <n v="1168.05"/>
  </r>
  <r>
    <d v="2020-05-14T00:00:00"/>
    <x v="1"/>
    <x v="3"/>
    <n v="12037.5"/>
    <n v="981564"/>
    <n v="10"/>
    <n v="627"/>
    <n v="545"/>
    <n v="1203.75"/>
  </r>
  <r>
    <d v="2020-05-15T00:00:00"/>
    <x v="1"/>
    <x v="3"/>
    <n v="14421"/>
    <n v="1150579.5"/>
    <n v="10"/>
    <n v="743"/>
    <n v="652"/>
    <n v="1442.1"/>
  </r>
  <r>
    <d v="2020-05-29T00:00:00"/>
    <x v="0"/>
    <x v="3"/>
    <n v="14823"/>
    <n v="1273464"/>
    <n v="10"/>
    <n v="873"/>
    <n v="770"/>
    <n v="1482.3"/>
  </r>
  <r>
    <d v="2020-05-27T00:00:00"/>
    <x v="0"/>
    <x v="4"/>
    <n v="31257"/>
    <n v="2924133"/>
    <n v="20"/>
    <n v="2079"/>
    <n v="1856"/>
    <n v="1562.85"/>
  </r>
  <r>
    <d v="2020-05-22T00:00:00"/>
    <x v="2"/>
    <x v="4"/>
    <n v="38074.5"/>
    <n v="3414180"/>
    <n v="20"/>
    <n v="2306"/>
    <n v="2054"/>
    <n v="1903.7249999999999"/>
  </r>
  <r>
    <d v="2020-06-01T00:00:00"/>
    <x v="5"/>
    <x v="4"/>
    <n v="32170.5"/>
    <n v="3013512"/>
    <n v="20"/>
    <n v="2136"/>
    <n v="1899"/>
    <n v="1608.5250000000001"/>
  </r>
  <r>
    <d v="2020-05-11T00:00:00"/>
    <x v="1"/>
    <x v="4"/>
    <n v="42397.5"/>
    <n v="3911979"/>
    <n v="19"/>
    <n v="2530"/>
    <n v="2270"/>
    <n v="2231.4473684210525"/>
  </r>
  <r>
    <d v="2020-05-18T00:00:00"/>
    <x v="2"/>
    <x v="4"/>
    <n v="28668"/>
    <n v="2588148"/>
    <n v="19"/>
    <n v="1858"/>
    <n v="1648"/>
    <n v="1508.8421052631579"/>
  </r>
  <r>
    <d v="2020-05-14T00:00:00"/>
    <x v="1"/>
    <x v="4"/>
    <n v="27411"/>
    <n v="2441520"/>
    <n v="19"/>
    <n v="1675"/>
    <n v="1475"/>
    <n v="1442.6842105263158"/>
  </r>
  <r>
    <d v="2020-05-15T00:00:00"/>
    <x v="1"/>
    <x v="4"/>
    <n v="32854.5"/>
    <n v="2949078"/>
    <n v="19"/>
    <n v="1940"/>
    <n v="1715"/>
    <n v="1729.1842105263158"/>
  </r>
  <r>
    <d v="2020-05-29T00:00:00"/>
    <x v="0"/>
    <x v="4"/>
    <n v="35346"/>
    <n v="3258054"/>
    <n v="20"/>
    <n v="2249"/>
    <n v="2000"/>
    <n v="1767.3"/>
  </r>
  <r>
    <d v="2020-05-27T00:00:00"/>
    <x v="0"/>
    <x v="5"/>
    <n v="286558.5"/>
    <n v="29256993"/>
    <n v="129"/>
    <n v="17115"/>
    <n v="15962"/>
    <n v="2221.3837209302324"/>
  </r>
  <r>
    <d v="2020-05-22T00:00:00"/>
    <x v="2"/>
    <x v="5"/>
    <n v="304092"/>
    <n v="29465769"/>
    <n v="129"/>
    <n v="17088"/>
    <n v="15804"/>
    <n v="2357.3023255813955"/>
  </r>
  <r>
    <d v="2020-06-01T00:00:00"/>
    <x v="5"/>
    <x v="5"/>
    <n v="272926.5"/>
    <n v="27770092.5"/>
    <n v="128"/>
    <n v="16285"/>
    <n v="15130"/>
    <n v="2132.23828125"/>
  </r>
  <r>
    <d v="2020-05-11T00:00:00"/>
    <x v="1"/>
    <x v="5"/>
    <n v="237099"/>
    <n v="24628233.223949999"/>
    <n v="129"/>
    <n v="14043"/>
    <n v="13167"/>
    <n v="1837.9767441860465"/>
  </r>
  <r>
    <d v="2020-05-18T00:00:00"/>
    <x v="2"/>
    <x v="5"/>
    <n v="273900"/>
    <n v="27535284.147600003"/>
    <n v="129"/>
    <n v="16110"/>
    <n v="14992"/>
    <n v="2123.2558139534885"/>
  </r>
  <r>
    <d v="2020-05-14T00:00:00"/>
    <x v="1"/>
    <x v="5"/>
    <n v="274059"/>
    <n v="28181292"/>
    <n v="129"/>
    <n v="15804"/>
    <n v="14738"/>
    <n v="2124.4883720930234"/>
  </r>
  <r>
    <d v="2020-05-15T00:00:00"/>
    <x v="1"/>
    <x v="5"/>
    <n v="318816"/>
    <n v="32354331"/>
    <n v="129"/>
    <n v="17808"/>
    <n v="16486"/>
    <n v="2471.4418604651164"/>
  </r>
  <r>
    <d v="2020-05-27T00:00:00"/>
    <x v="0"/>
    <x v="6"/>
    <n v="370012.5"/>
    <n v="39034861.5"/>
    <n v="124"/>
    <n v="21384"/>
    <n v="19897"/>
    <n v="2983.9717741935483"/>
  </r>
  <r>
    <d v="2020-05-22T00:00:00"/>
    <x v="2"/>
    <x v="6"/>
    <n v="393018"/>
    <n v="39498373.5"/>
    <n v="125"/>
    <n v="21427"/>
    <n v="19799"/>
    <n v="3144.1439999999998"/>
  </r>
  <r>
    <d v="2020-06-01T00:00:00"/>
    <x v="5"/>
    <x v="6"/>
    <n v="349699.5"/>
    <n v="37257840.18135"/>
    <n v="123"/>
    <n v="20325"/>
    <n v="18935"/>
    <n v="2843.0853658536585"/>
  </r>
  <r>
    <d v="2020-05-11T00:00:00"/>
    <x v="1"/>
    <x v="6"/>
    <n v="318565.5"/>
    <n v="33781581"/>
    <n v="125"/>
    <n v="18066"/>
    <n v="16883"/>
    <n v="2548.5239999999999"/>
  </r>
  <r>
    <d v="2020-05-29T00:00:00"/>
    <x v="0"/>
    <x v="5"/>
    <n v="422965.5"/>
    <n v="41767140.105000004"/>
    <n v="129"/>
    <n v="22403"/>
    <n v="20676"/>
    <n v="3278.8023255813955"/>
  </r>
  <r>
    <d v="2020-05-18T00:00:00"/>
    <x v="2"/>
    <x v="6"/>
    <n v="355081.5"/>
    <n v="36876888"/>
    <n v="125"/>
    <n v="20449"/>
    <n v="19060"/>
    <n v="2840.652"/>
  </r>
  <r>
    <d v="2020-05-14T00:00:00"/>
    <x v="1"/>
    <x v="6"/>
    <n v="358387.5"/>
    <n v="37963150.5"/>
    <n v="125"/>
    <n v="20247"/>
    <n v="18812"/>
    <n v="2867.1"/>
  </r>
  <r>
    <d v="2020-05-15T00:00:00"/>
    <x v="1"/>
    <x v="6"/>
    <n v="403261.5"/>
    <n v="42271377"/>
    <n v="125"/>
    <n v="21862"/>
    <n v="20235"/>
    <n v="3226.0920000000001"/>
  </r>
  <r>
    <d v="2020-05-27T00:00:00"/>
    <x v="0"/>
    <x v="7"/>
    <n v="69010.5"/>
    <n v="5985894"/>
    <n v="36"/>
    <n v="4951"/>
    <n v="4584"/>
    <n v="1916.9583333333333"/>
  </r>
  <r>
    <d v="2020-05-22T00:00:00"/>
    <x v="2"/>
    <x v="7"/>
    <n v="75820.5"/>
    <n v="5943489"/>
    <n v="36"/>
    <n v="4857"/>
    <n v="4456"/>
    <n v="2106.125"/>
  </r>
  <r>
    <d v="2020-06-01T00:00:00"/>
    <x v="5"/>
    <x v="7"/>
    <n v="64740"/>
    <n v="5800290"/>
    <n v="37"/>
    <n v="4722"/>
    <n v="4352"/>
    <n v="1749.7297297297298"/>
  </r>
  <r>
    <d v="2020-05-11T00:00:00"/>
    <x v="1"/>
    <x v="7"/>
    <n v="59574"/>
    <n v="5178169.5"/>
    <n v="36"/>
    <n v="4150"/>
    <n v="3838"/>
    <n v="1654.8333333333333"/>
  </r>
  <r>
    <d v="2020-05-29T00:00:00"/>
    <x v="0"/>
    <x v="6"/>
    <n v="524481"/>
    <n v="54172029"/>
    <n v="124"/>
    <n v="25828"/>
    <n v="23974"/>
    <n v="4229.6854838709678"/>
  </r>
  <r>
    <d v="2020-05-18T00:00:00"/>
    <x v="2"/>
    <x v="7"/>
    <n v="70278"/>
    <n v="5798476.5"/>
    <n v="36"/>
    <n v="4885"/>
    <n v="4502"/>
    <n v="1952.1666666666667"/>
  </r>
  <r>
    <d v="2020-05-14T00:00:00"/>
    <x v="1"/>
    <x v="7"/>
    <n v="63645"/>
    <n v="5366602.5"/>
    <n v="36"/>
    <n v="4285"/>
    <n v="3950"/>
    <n v="1767.9166666666667"/>
  </r>
  <r>
    <d v="2020-05-15T00:00:00"/>
    <x v="1"/>
    <x v="7"/>
    <n v="75642"/>
    <n v="6293952"/>
    <n v="36"/>
    <n v="4862"/>
    <n v="4476"/>
    <n v="2101.1666666666665"/>
  </r>
  <r>
    <d v="2020-05-27T00:00:00"/>
    <x v="0"/>
    <x v="8"/>
    <n v="40420.5"/>
    <n v="3780852"/>
    <n v="21"/>
    <n v="2430"/>
    <n v="2216"/>
    <n v="1924.7857142857142"/>
  </r>
  <r>
    <d v="2020-05-22T00:00:00"/>
    <x v="2"/>
    <x v="8"/>
    <n v="53838"/>
    <n v="4840833"/>
    <n v="21"/>
    <n v="2861"/>
    <n v="2612"/>
    <n v="2563.7142857142858"/>
  </r>
  <r>
    <d v="2020-06-01T00:00:00"/>
    <x v="5"/>
    <x v="8"/>
    <n v="40528.5"/>
    <n v="3865251"/>
    <n v="23"/>
    <n v="2531"/>
    <n v="2296"/>
    <n v="1762.108695652174"/>
  </r>
  <r>
    <d v="2020-05-11T00:00:00"/>
    <x v="1"/>
    <x v="8"/>
    <n v="32733"/>
    <n v="3079630.5"/>
    <n v="21"/>
    <n v="1916"/>
    <n v="1733"/>
    <n v="1558.7142857142858"/>
  </r>
  <r>
    <d v="2020-05-29T00:00:00"/>
    <x v="0"/>
    <x v="7"/>
    <n v="84433.5"/>
    <n v="7228395"/>
    <n v="37"/>
    <n v="5672"/>
    <n v="5198"/>
    <n v="2281.9864864864867"/>
  </r>
  <r>
    <d v="2020-05-18T00:00:00"/>
    <x v="2"/>
    <x v="8"/>
    <n v="36655.5"/>
    <n v="3360135"/>
    <n v="21"/>
    <n v="2136"/>
    <n v="1947"/>
    <n v="1745.5"/>
  </r>
  <r>
    <d v="2020-05-14T00:00:00"/>
    <x v="1"/>
    <x v="8"/>
    <n v="33886.5"/>
    <n v="3166479"/>
    <n v="21"/>
    <n v="1993"/>
    <n v="1796"/>
    <n v="1613.6428571428571"/>
  </r>
  <r>
    <d v="2020-05-15T00:00:00"/>
    <x v="1"/>
    <x v="8"/>
    <n v="41697"/>
    <n v="3772258.5"/>
    <n v="21"/>
    <n v="2255"/>
    <n v="2045"/>
    <n v="1985.5714285714287"/>
  </r>
  <r>
    <d v="2020-05-29T00:00:00"/>
    <x v="0"/>
    <x v="8"/>
    <n v="44569.5"/>
    <n v="4108596"/>
    <n v="22"/>
    <n v="2597"/>
    <n v="2379"/>
    <n v="2025.8863636363637"/>
  </r>
  <r>
    <d v="2020-05-27T00:00:00"/>
    <x v="0"/>
    <x v="9"/>
    <n v="18069"/>
    <n v="1603084.5"/>
    <n v="17"/>
    <n v="1203"/>
    <n v="1077"/>
    <n v="1062.8823529411766"/>
  </r>
  <r>
    <d v="2020-05-22T00:00:00"/>
    <x v="2"/>
    <x v="9"/>
    <n v="21483"/>
    <n v="1774329"/>
    <n v="17"/>
    <n v="1268"/>
    <n v="1129"/>
    <n v="1263.7058823529412"/>
  </r>
  <r>
    <d v="2020-06-01T00:00:00"/>
    <x v="5"/>
    <x v="9"/>
    <n v="16687.5"/>
    <n v="1526608.5"/>
    <n v="17"/>
    <n v="1185"/>
    <n v="1042"/>
    <n v="981.61764705882354"/>
  </r>
  <r>
    <d v="2020-05-11T00:00:00"/>
    <x v="1"/>
    <x v="9"/>
    <n v="12238.5"/>
    <n v="1096002"/>
    <n v="15"/>
    <n v="812"/>
    <n v="714"/>
    <n v="815.9"/>
  </r>
  <r>
    <d v="2020-05-18T00:00:00"/>
    <x v="2"/>
    <x v="9"/>
    <n v="14290.5"/>
    <n v="1246162.5"/>
    <n v="16"/>
    <n v="925"/>
    <n v="816"/>
    <n v="893.15625"/>
  </r>
  <r>
    <d v="2020-05-14T00:00:00"/>
    <x v="1"/>
    <x v="9"/>
    <n v="14385"/>
    <n v="1223491.5"/>
    <n v="15"/>
    <n v="890"/>
    <n v="777"/>
    <n v="959"/>
  </r>
  <r>
    <d v="2020-05-15T00:00:00"/>
    <x v="1"/>
    <x v="9"/>
    <n v="16498.5"/>
    <n v="1370482.5"/>
    <n v="15"/>
    <n v="980"/>
    <n v="867"/>
    <n v="1099.9000000000001"/>
  </r>
  <r>
    <d v="2020-05-27T00:00:00"/>
    <x v="0"/>
    <x v="10"/>
    <n v="13203"/>
    <n v="1211457"/>
    <n v="15"/>
    <n v="809"/>
    <n v="702"/>
    <n v="880.2"/>
  </r>
  <r>
    <d v="2020-05-22T00:00:00"/>
    <x v="2"/>
    <x v="10"/>
    <n v="15802.5"/>
    <n v="1411909.5"/>
    <n v="15"/>
    <n v="903"/>
    <n v="792"/>
    <n v="1053.5"/>
  </r>
  <r>
    <d v="2020-06-01T00:00:00"/>
    <x v="5"/>
    <x v="10"/>
    <n v="16476"/>
    <n v="1565632.5"/>
    <n v="16"/>
    <n v="1019"/>
    <n v="895"/>
    <n v="1029.75"/>
  </r>
  <r>
    <d v="2020-05-11T00:00:00"/>
    <x v="1"/>
    <x v="10"/>
    <n v="12654"/>
    <n v="1081158"/>
    <n v="15"/>
    <n v="684"/>
    <n v="585"/>
    <n v="843.6"/>
  </r>
  <r>
    <d v="2020-05-29T00:00:00"/>
    <x v="0"/>
    <x v="9"/>
    <n v="19647"/>
    <n v="1764669"/>
    <n v="17"/>
    <n v="1296"/>
    <n v="1153"/>
    <n v="1155.7058823529412"/>
  </r>
  <r>
    <d v="2020-05-18T00:00:00"/>
    <x v="2"/>
    <x v="10"/>
    <n v="12450"/>
    <n v="1115146.5"/>
    <n v="15"/>
    <n v="729"/>
    <n v="636"/>
    <n v="830"/>
  </r>
  <r>
    <d v="2020-05-14T00:00:00"/>
    <x v="1"/>
    <x v="10"/>
    <n v="11161.5"/>
    <n v="963502.5"/>
    <n v="15"/>
    <n v="638"/>
    <n v="548"/>
    <n v="744.1"/>
  </r>
  <r>
    <d v="2020-05-15T00:00:00"/>
    <x v="1"/>
    <x v="10"/>
    <n v="12229.5"/>
    <n v="1122730.5"/>
    <n v="15"/>
    <n v="688"/>
    <n v="598"/>
    <n v="815.3"/>
  </r>
  <r>
    <d v="2020-05-27T00:00:00"/>
    <x v="0"/>
    <x v="11"/>
    <n v="28050"/>
    <n v="2458555.5"/>
    <n v="20"/>
    <n v="1873"/>
    <n v="1715"/>
    <n v="1402.5"/>
  </r>
  <r>
    <d v="2020-05-22T00:00:00"/>
    <x v="2"/>
    <x v="11"/>
    <n v="30781.5"/>
    <n v="2540715"/>
    <n v="19"/>
    <n v="1859"/>
    <n v="1697"/>
    <n v="1620.078947368421"/>
  </r>
  <r>
    <d v="2020-06-01T00:00:00"/>
    <x v="5"/>
    <x v="11"/>
    <n v="27960"/>
    <n v="2538967.5"/>
    <n v="21"/>
    <n v="1879"/>
    <n v="1720"/>
    <n v="1331.4285714285713"/>
  </r>
  <r>
    <d v="2020-05-11T00:00:00"/>
    <x v="1"/>
    <x v="11"/>
    <n v="23629.5"/>
    <n v="2164365"/>
    <n v="19"/>
    <n v="1527"/>
    <n v="1389"/>
    <n v="1243.6578947368421"/>
  </r>
  <r>
    <d v="2020-05-29T00:00:00"/>
    <x v="0"/>
    <x v="10"/>
    <n v="17052"/>
    <n v="1549020"/>
    <n v="16"/>
    <n v="981"/>
    <n v="859"/>
    <n v="1065.75"/>
  </r>
  <r>
    <d v="2020-05-18T00:00:00"/>
    <x v="2"/>
    <x v="11"/>
    <n v="27181.5"/>
    <n v="2324490"/>
    <n v="19"/>
    <n v="1741"/>
    <n v="1597"/>
    <n v="1430.6052631578948"/>
  </r>
  <r>
    <d v="2020-05-14T00:00:00"/>
    <x v="1"/>
    <x v="11"/>
    <n v="25656"/>
    <n v="2225341.5"/>
    <n v="19"/>
    <n v="1635"/>
    <n v="1487"/>
    <n v="1350.3157894736842"/>
  </r>
  <r>
    <d v="2020-05-15T00:00:00"/>
    <x v="1"/>
    <x v="11"/>
    <n v="29283"/>
    <n v="2477487"/>
    <n v="19"/>
    <n v="1780"/>
    <n v="1615"/>
    <n v="1541.2105263157894"/>
  </r>
  <r>
    <d v="2020-05-29T00:00:00"/>
    <x v="0"/>
    <x v="11"/>
    <n v="32782.5"/>
    <n v="2854741.5"/>
    <n v="20"/>
    <n v="2064"/>
    <n v="1896"/>
    <n v="1639.125"/>
  </r>
  <r>
    <d v="2020-05-27T00:00:00"/>
    <x v="0"/>
    <x v="12"/>
    <n v="215592"/>
    <n v="22342300.5"/>
    <n v="59"/>
    <n v="13942"/>
    <n v="12986"/>
    <n v="3654.101694915254"/>
  </r>
  <r>
    <d v="2020-05-22T00:00:00"/>
    <x v="2"/>
    <x v="12"/>
    <n v="228334.5"/>
    <n v="22380772.5"/>
    <n v="60"/>
    <n v="14050"/>
    <n v="13027"/>
    <n v="3805.5749999999998"/>
  </r>
  <r>
    <d v="2020-06-01T00:00:00"/>
    <x v="5"/>
    <x v="12"/>
    <n v="188776.5"/>
    <n v="19465372.5"/>
    <n v="59"/>
    <n v="12299"/>
    <n v="11448"/>
    <n v="3199.601694915254"/>
  </r>
  <r>
    <d v="2020-05-11T00:00:00"/>
    <x v="1"/>
    <x v="12"/>
    <n v="175293"/>
    <n v="17919144"/>
    <n v="60"/>
    <n v="11100"/>
    <n v="10407"/>
    <n v="2921.55"/>
  </r>
  <r>
    <d v="2020-05-18T00:00:00"/>
    <x v="2"/>
    <x v="12"/>
    <n v="201999"/>
    <n v="20422435.5"/>
    <n v="60"/>
    <n v="12460"/>
    <n v="11665"/>
    <n v="3366.65"/>
  </r>
  <r>
    <d v="2020-05-14T00:00:00"/>
    <x v="1"/>
    <x v="12"/>
    <n v="197946"/>
    <n v="19942435.5"/>
    <n v="60"/>
    <n v="11935"/>
    <n v="11178"/>
    <n v="3299.1"/>
  </r>
  <r>
    <d v="2020-05-15T00:00:00"/>
    <x v="1"/>
    <x v="12"/>
    <n v="230896.5"/>
    <n v="23085222"/>
    <n v="60"/>
    <n v="13544"/>
    <n v="12643"/>
    <n v="3848.2750000000001"/>
  </r>
  <r>
    <d v="2020-05-27T00:00:00"/>
    <x v="0"/>
    <x v="13"/>
    <n v="203532"/>
    <n v="20953324.5"/>
    <n v="54"/>
    <n v="13091"/>
    <n v="12216"/>
    <n v="3769.1111111111113"/>
  </r>
  <r>
    <d v="2020-05-22T00:00:00"/>
    <x v="2"/>
    <x v="13"/>
    <n v="214428"/>
    <n v="20812585.5"/>
    <n v="54"/>
    <n v="13014"/>
    <n v="12095"/>
    <n v="3970.8888888888887"/>
  </r>
  <r>
    <d v="2020-06-01T00:00:00"/>
    <x v="5"/>
    <x v="13"/>
    <n v="183228"/>
    <n v="18914194.5"/>
    <n v="54"/>
    <n v="11864"/>
    <n v="11071"/>
    <n v="3393.1111111111113"/>
  </r>
  <r>
    <d v="2020-05-11T00:00:00"/>
    <x v="1"/>
    <x v="13"/>
    <n v="166948.5"/>
    <n v="16971231"/>
    <n v="54"/>
    <n v="10570"/>
    <n v="9926"/>
    <n v="3091.6388888888887"/>
  </r>
  <r>
    <d v="2020-05-29T00:00:00"/>
    <x v="0"/>
    <x v="12"/>
    <n v="232102.5"/>
    <n v="23120443.5"/>
    <n v="59"/>
    <n v="14507"/>
    <n v="13386"/>
    <n v="3933.9406779661017"/>
  </r>
  <r>
    <d v="2020-05-18T00:00:00"/>
    <x v="2"/>
    <x v="13"/>
    <n v="196560"/>
    <n v="19855122"/>
    <n v="54"/>
    <n v="12012"/>
    <n v="11308"/>
    <n v="3640"/>
  </r>
  <r>
    <d v="2020-05-14T00:00:00"/>
    <x v="1"/>
    <x v="13"/>
    <n v="186496.5"/>
    <n v="18640998"/>
    <n v="54"/>
    <n v="11194"/>
    <n v="10554"/>
    <n v="3453.6388888888887"/>
  </r>
  <r>
    <d v="2020-05-15T00:00:00"/>
    <x v="1"/>
    <x v="13"/>
    <n v="219772.5"/>
    <n v="21895294.5"/>
    <n v="54"/>
    <n v="12791"/>
    <n v="11950"/>
    <n v="4069.8611111111113"/>
  </r>
  <r>
    <d v="2020-05-29T00:00:00"/>
    <x v="0"/>
    <x v="13"/>
    <n v="226476"/>
    <n v="22416151.5"/>
    <n v="54"/>
    <n v="14031"/>
    <n v="12943"/>
    <n v="4194"/>
  </r>
  <r>
    <d v="2020-05-27T00:00:00"/>
    <x v="0"/>
    <x v="15"/>
    <n v="8362.5"/>
    <n v="687684"/>
    <n v="7"/>
    <n v="409"/>
    <n v="329"/>
    <n v="1194.6428571428571"/>
  </r>
  <r>
    <d v="2020-05-22T00:00:00"/>
    <x v="2"/>
    <x v="14"/>
    <n v="17008.5"/>
    <n v="1398771"/>
    <n v="18"/>
    <n v="985"/>
    <n v="861"/>
    <n v="944.91666666666663"/>
  </r>
  <r>
    <d v="2020-06-01T00:00:00"/>
    <x v="5"/>
    <x v="16"/>
    <n v="5166"/>
    <n v="389013"/>
    <n v="9"/>
    <n v="294"/>
    <n v="224"/>
    <n v="574"/>
  </r>
  <r>
    <d v="2020-05-11T00:00:00"/>
    <x v="1"/>
    <x v="14"/>
    <n v="10941"/>
    <n v="880356"/>
    <n v="15"/>
    <n v="654"/>
    <n v="564"/>
    <n v="729.4"/>
  </r>
  <r>
    <d v="2020-05-18T00:00:00"/>
    <x v="2"/>
    <x v="14"/>
    <n v="14497.5"/>
    <n v="1230711"/>
    <n v="16"/>
    <n v="864"/>
    <n v="765"/>
    <n v="906.09375"/>
  </r>
  <r>
    <d v="2020-05-14T00:00:00"/>
    <x v="1"/>
    <x v="14"/>
    <n v="13810.5"/>
    <n v="1131676.5"/>
    <n v="16"/>
    <n v="834"/>
    <n v="735"/>
    <n v="863.15625"/>
  </r>
  <r>
    <d v="2020-05-15T00:00:00"/>
    <x v="1"/>
    <x v="14"/>
    <n v="13752"/>
    <n v="1091040"/>
    <n v="16"/>
    <n v="817"/>
    <n v="718"/>
    <n v="859.5"/>
  </r>
  <r>
    <d v="2020-05-27T00:00:00"/>
    <x v="0"/>
    <x v="14"/>
    <n v="15276"/>
    <n v="1350199.5"/>
    <n v="18"/>
    <n v="962"/>
    <n v="859"/>
    <n v="848.66666666666663"/>
  </r>
  <r>
    <d v="2020-06-01T00:00:00"/>
    <x v="5"/>
    <x v="17"/>
    <n v="4408.5"/>
    <n v="410892"/>
    <n v="6"/>
    <n v="237"/>
    <n v="175"/>
    <n v="734.75"/>
  </r>
  <r>
    <d v="2020-05-29T00:00:00"/>
    <x v="0"/>
    <x v="15"/>
    <n v="9927"/>
    <n v="850840.5"/>
    <n v="7"/>
    <n v="491"/>
    <n v="411"/>
    <n v="1418.1428571428571"/>
  </r>
  <r>
    <d v="2020-06-01T00:00:00"/>
    <x v="5"/>
    <x v="15"/>
    <n v="9474"/>
    <n v="802447.5"/>
    <n v="7"/>
    <n v="500"/>
    <n v="418"/>
    <n v="1353.4285714285713"/>
  </r>
  <r>
    <d v="2020-05-29T00:00:00"/>
    <x v="0"/>
    <x v="14"/>
    <n v="16878"/>
    <n v="1438255.5"/>
    <n v="18"/>
    <n v="1014"/>
    <n v="893"/>
    <n v="937.66666666666663"/>
  </r>
  <r>
    <d v="2020-06-01T00:00:00"/>
    <x v="5"/>
    <x v="14"/>
    <n v="14238"/>
    <n v="1293219"/>
    <n v="18"/>
    <n v="923"/>
    <n v="824"/>
    <n v="7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B7A057-C394-4CC7-A5D6-78749E3CC725}" name="Сводная таблица4" cacheId="17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5">
  <location ref="A3:D10" firstHeaderRow="0" firstDataRow="1" firstDataCol="1"/>
  <pivotFields count="9">
    <pivotField numFmtId="164" showAll="0"/>
    <pivotField axis="axisRow" showAll="0">
      <items count="7">
        <item x="4"/>
        <item x="3"/>
        <item x="1"/>
        <item x="2"/>
        <item x="0"/>
        <item x="5"/>
        <item t="default"/>
      </items>
    </pivotField>
    <pivotField showAll="0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</pivotField>
    <pivotField showAll="0"/>
    <pivotField dataField="1" showAll="0"/>
    <pivotField showAll="0"/>
    <pivotField dataField="1" showAll="0"/>
    <pivotField showAll="0"/>
    <pivotField dataField="1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умма по полю Товарооборот, руб" fld="4" baseField="0" baseItem="0"/>
    <dataField name="Среднее по полю Товарооборот на склад" fld="8" subtotal="average" baseField="2" baseItem="6"/>
    <dataField name="Сумма по полю Количество заказов" fld="6" baseField="0" baseItem="0"/>
  </dataFields>
  <chartFormats count="6">
    <chartFormat chart="0" format="5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73C04-AED1-4775-A53F-F77CF240A7C2}">
  <dimension ref="A3:D10"/>
  <sheetViews>
    <sheetView tabSelected="1" workbookViewId="0">
      <selection activeCell="B30" sqref="B30"/>
    </sheetView>
  </sheetViews>
  <sheetFormatPr defaultRowHeight="14.4" x14ac:dyDescent="0.3"/>
  <cols>
    <col min="1" max="1" width="17" bestFit="1" customWidth="1"/>
    <col min="2" max="2" width="32.77734375" bestFit="1" customWidth="1"/>
    <col min="3" max="3" width="38.21875" bestFit="1" customWidth="1"/>
    <col min="4" max="4" width="33.33203125" bestFit="1" customWidth="1"/>
    <col min="5" max="5" width="12" bestFit="1" customWidth="1"/>
    <col min="6" max="6" width="11" bestFit="1" customWidth="1"/>
    <col min="7" max="7" width="14.33203125" bestFit="1" customWidth="1"/>
    <col min="8" max="8" width="13.5546875" bestFit="1" customWidth="1"/>
    <col min="9" max="9" width="17.21875" bestFit="1" customWidth="1"/>
    <col min="10" max="10" width="12.6640625" bestFit="1" customWidth="1"/>
    <col min="11" max="11" width="10" bestFit="1" customWidth="1"/>
    <col min="12" max="12" width="15.109375" bestFit="1" customWidth="1"/>
    <col min="13" max="13" width="10" bestFit="1" customWidth="1"/>
    <col min="14" max="14" width="21.6640625" bestFit="1" customWidth="1"/>
    <col min="15" max="15" width="18.77734375" bestFit="1" customWidth="1"/>
    <col min="16" max="16" width="10" bestFit="1" customWidth="1"/>
    <col min="17" max="17" width="7" bestFit="1" customWidth="1"/>
    <col min="18" max="18" width="10" bestFit="1" customWidth="1"/>
    <col min="19" max="19" width="9" bestFit="1" customWidth="1"/>
    <col min="20" max="20" width="38.21875" bestFit="1" customWidth="1"/>
    <col min="21" max="21" width="13.109375" bestFit="1" customWidth="1"/>
    <col min="22" max="24" width="12" bestFit="1" customWidth="1"/>
    <col min="25" max="25" width="14.33203125" bestFit="1" customWidth="1"/>
    <col min="26" max="26" width="13.5546875" bestFit="1" customWidth="1"/>
    <col min="27" max="27" width="17.21875" bestFit="1" customWidth="1"/>
    <col min="28" max="28" width="12.6640625" bestFit="1" customWidth="1"/>
    <col min="29" max="29" width="12" bestFit="1" customWidth="1"/>
    <col min="30" max="30" width="15.109375" bestFit="1" customWidth="1"/>
    <col min="31" max="31" width="7.6640625" bestFit="1" customWidth="1"/>
    <col min="32" max="32" width="21.6640625" bestFit="1" customWidth="1"/>
    <col min="33" max="33" width="18.77734375" bestFit="1" customWidth="1"/>
    <col min="34" max="36" width="12" bestFit="1" customWidth="1"/>
    <col min="37" max="37" width="8" bestFit="1" customWidth="1"/>
    <col min="38" max="38" width="33.33203125" bestFit="1" customWidth="1"/>
    <col min="39" max="39" width="13.109375" bestFit="1" customWidth="1"/>
    <col min="40" max="40" width="7.109375" bestFit="1" customWidth="1"/>
    <col min="41" max="41" width="9.88671875" bestFit="1" customWidth="1"/>
    <col min="42" max="42" width="10.5546875" bestFit="1" customWidth="1"/>
    <col min="43" max="43" width="14.33203125" bestFit="1" customWidth="1"/>
    <col min="44" max="44" width="13.5546875" bestFit="1" customWidth="1"/>
    <col min="45" max="45" width="17.21875" bestFit="1" customWidth="1"/>
    <col min="46" max="46" width="12.6640625" bestFit="1" customWidth="1"/>
    <col min="47" max="47" width="6.77734375" bestFit="1" customWidth="1"/>
    <col min="48" max="48" width="15.109375" bestFit="1" customWidth="1"/>
    <col min="49" max="49" width="7.6640625" bestFit="1" customWidth="1"/>
    <col min="50" max="50" width="21.6640625" bestFit="1" customWidth="1"/>
    <col min="51" max="51" width="18.77734375" bestFit="1" customWidth="1"/>
    <col min="52" max="52" width="8.77734375" bestFit="1" customWidth="1"/>
    <col min="53" max="53" width="6.44140625" bestFit="1" customWidth="1"/>
    <col min="54" max="54" width="8.109375" bestFit="1" customWidth="1"/>
    <col min="55" max="55" width="4.44140625" bestFit="1" customWidth="1"/>
    <col min="56" max="56" width="37.21875" bestFit="1" customWidth="1"/>
    <col min="57" max="57" width="42.6640625" bestFit="1" customWidth="1"/>
    <col min="58" max="58" width="37.88671875" bestFit="1" customWidth="1"/>
  </cols>
  <sheetData>
    <row r="3" spans="1:4" x14ac:dyDescent="0.3">
      <c r="A3" s="20" t="s">
        <v>27</v>
      </c>
      <c r="B3" t="s">
        <v>29</v>
      </c>
      <c r="C3" t="s">
        <v>31</v>
      </c>
      <c r="D3" t="s">
        <v>30</v>
      </c>
    </row>
    <row r="4" spans="1:4" x14ac:dyDescent="0.3">
      <c r="A4" s="21">
        <v>18</v>
      </c>
      <c r="B4" s="22">
        <v>836803032</v>
      </c>
      <c r="C4" s="22">
        <v>1903.9287983725283</v>
      </c>
      <c r="D4" s="22">
        <v>492875</v>
      </c>
    </row>
    <row r="5" spans="1:4" x14ac:dyDescent="0.3">
      <c r="A5" s="21">
        <v>19</v>
      </c>
      <c r="B5" s="22">
        <v>983915409.85664999</v>
      </c>
      <c r="C5" s="22">
        <v>1902.2235678655722</v>
      </c>
      <c r="D5" s="22">
        <v>580676</v>
      </c>
    </row>
    <row r="6" spans="1:4" x14ac:dyDescent="0.3">
      <c r="A6" s="21">
        <v>20</v>
      </c>
      <c r="B6" s="22">
        <v>947263006.72395003</v>
      </c>
      <c r="C6" s="22">
        <v>1905.7724737317153</v>
      </c>
      <c r="D6" s="22">
        <v>567181</v>
      </c>
    </row>
    <row r="7" spans="1:4" x14ac:dyDescent="0.3">
      <c r="A7" s="21">
        <v>21</v>
      </c>
      <c r="B7" s="22">
        <v>1002691883.0466</v>
      </c>
      <c r="C7" s="22">
        <v>2096.6340288233764</v>
      </c>
      <c r="D7" s="22">
        <v>618997</v>
      </c>
    </row>
    <row r="8" spans="1:4" x14ac:dyDescent="0.3">
      <c r="A8" s="21">
        <v>22</v>
      </c>
      <c r="B8" s="22">
        <v>1055653508.75385</v>
      </c>
      <c r="C8" s="22">
        <v>1983.3505902202344</v>
      </c>
      <c r="D8" s="22">
        <v>644177</v>
      </c>
    </row>
    <row r="9" spans="1:4" x14ac:dyDescent="0.3">
      <c r="A9" s="21">
        <v>23</v>
      </c>
      <c r="B9" s="22">
        <v>136032376.68134999</v>
      </c>
      <c r="C9" s="22">
        <v>1620.0541610468135</v>
      </c>
      <c r="D9" s="22">
        <v>84864</v>
      </c>
    </row>
    <row r="10" spans="1:4" x14ac:dyDescent="0.3">
      <c r="A10" s="21" t="s">
        <v>28</v>
      </c>
      <c r="B10" s="22">
        <v>4962359217.0623989</v>
      </c>
      <c r="C10" s="22">
        <v>1948.6219210135698</v>
      </c>
      <c r="D10" s="22">
        <v>2988770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workbookViewId="0">
      <selection sqref="A1:I505"/>
    </sheetView>
  </sheetViews>
  <sheetFormatPr defaultColWidth="14.44140625" defaultRowHeight="15" customHeight="1" x14ac:dyDescent="0.3"/>
  <cols>
    <col min="1" max="1" width="10.44140625" customWidth="1"/>
    <col min="2" max="2" width="14.88671875" customWidth="1"/>
    <col min="3" max="3" width="21.6640625" customWidth="1"/>
    <col min="4" max="4" width="22" customWidth="1"/>
    <col min="5" max="5" width="20.33203125" customWidth="1"/>
    <col min="6" max="6" width="25.33203125" customWidth="1"/>
    <col min="7" max="7" width="22" style="14" customWidth="1"/>
    <col min="8" max="8" width="22" style="19" customWidth="1"/>
    <col min="9" max="9" width="23.44140625" customWidth="1"/>
    <col min="10" max="24" width="8.6640625" customWidth="1"/>
  </cols>
  <sheetData>
    <row r="1" spans="1:24" ht="14.25" customHeight="1" x14ac:dyDescent="0.3">
      <c r="A1" s="1" t="s">
        <v>0</v>
      </c>
      <c r="B1" s="3" t="s">
        <v>8</v>
      </c>
      <c r="C1" s="2" t="s">
        <v>1</v>
      </c>
      <c r="D1" s="2" t="s">
        <v>2</v>
      </c>
      <c r="E1" s="2" t="s">
        <v>3</v>
      </c>
      <c r="F1" s="3" t="s">
        <v>4</v>
      </c>
      <c r="G1" s="13" t="s">
        <v>5</v>
      </c>
      <c r="H1" s="17" t="s">
        <v>6</v>
      </c>
      <c r="I1" s="3" t="s">
        <v>7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4.25" customHeight="1" x14ac:dyDescent="0.3">
      <c r="A2" s="5">
        <v>43982</v>
      </c>
      <c r="B2">
        <f>WEEKNUM(A2, 2)</f>
        <v>22</v>
      </c>
      <c r="C2" s="6" t="s">
        <v>9</v>
      </c>
      <c r="D2" s="6">
        <v>7944</v>
      </c>
      <c r="E2" s="6">
        <v>623971.5</v>
      </c>
      <c r="F2" s="7" cm="1">
        <f t="array" ref="F2">_xlfn.XLOOKUP(A2&amp;C2, Лист2!$A$2:$A$505&amp;Лист2!$B$2:$B$505, Лист2!$C$2:$C$505)</f>
        <v>15</v>
      </c>
      <c r="G2" s="15" cm="1">
        <f t="array" ref="G2">_xlfn.XLOOKUP(A2&amp;C2, Лист2!$A$2:$A$505&amp;Лист2!$B$2:$B$505, Лист2!$D$2:$D$505)</f>
        <v>441</v>
      </c>
      <c r="H2" s="18" cm="1">
        <f t="array" ref="H2">_xlfn.XLOOKUP(A2&amp;C2, Лист2!$A$2:$A$505&amp;Лист2!$B$2:$B$505, Лист2!$E$2:$E$505)</f>
        <v>368</v>
      </c>
      <c r="I2" s="16">
        <f>D2/F2</f>
        <v>529.6</v>
      </c>
    </row>
    <row r="3" spans="1:24" ht="14.25" customHeight="1" x14ac:dyDescent="0.3">
      <c r="A3" s="8">
        <v>43981</v>
      </c>
      <c r="B3">
        <f t="shared" ref="B3:B66" si="0">WEEKNUM(A3, 2)</f>
        <v>22</v>
      </c>
      <c r="C3" s="9" t="s">
        <v>9</v>
      </c>
      <c r="D3" s="9">
        <v>10029</v>
      </c>
      <c r="E3" s="9">
        <v>787101</v>
      </c>
      <c r="F3" s="7" cm="1">
        <f t="array" ref="F3">_xlfn.XLOOKUP(A3&amp;C3, Лист2!$A$2:$A$505&amp;Лист2!$B$2:$B$505, Лист2!$C$2:$C$505)</f>
        <v>15</v>
      </c>
      <c r="G3" s="15" cm="1">
        <f t="array" ref="G3">_xlfn.XLOOKUP(A3&amp;C3, Лист2!$A$2:$A$505&amp;Лист2!$B$2:$B$505, Лист2!$D$2:$D$505)</f>
        <v>490</v>
      </c>
      <c r="H3" s="18" cm="1">
        <f t="array" ref="H3">_xlfn.XLOOKUP(A3&amp;C3, Лист2!$A$2:$A$505&amp;Лист2!$B$2:$B$505, Лист2!$E$2:$E$505)</f>
        <v>409</v>
      </c>
      <c r="I3" s="16">
        <f t="shared" ref="I3:I66" si="1">D3/F3</f>
        <v>668.6</v>
      </c>
    </row>
    <row r="4" spans="1:24" ht="14.25" customHeight="1" x14ac:dyDescent="0.3">
      <c r="A4" s="5">
        <v>43979</v>
      </c>
      <c r="B4">
        <f t="shared" si="0"/>
        <v>22</v>
      </c>
      <c r="C4" s="6" t="s">
        <v>9</v>
      </c>
      <c r="D4" s="6">
        <v>8536.5</v>
      </c>
      <c r="E4" s="6">
        <v>643944</v>
      </c>
      <c r="F4" s="7" cm="1">
        <f t="array" ref="F4">_xlfn.XLOOKUP(A4&amp;C4, Лист2!$A$2:$A$505&amp;Лист2!$B$2:$B$505, Лист2!$C$2:$C$505)</f>
        <v>15</v>
      </c>
      <c r="G4" s="15" cm="1">
        <f t="array" ref="G4">_xlfn.XLOOKUP(A4&amp;C4, Лист2!$A$2:$A$505&amp;Лист2!$B$2:$B$505, Лист2!$D$2:$D$505)</f>
        <v>464</v>
      </c>
      <c r="H4" s="18" cm="1">
        <f t="array" ref="H4">_xlfn.XLOOKUP(A4&amp;C4, Лист2!$A$2:$A$505&amp;Лист2!$B$2:$B$505, Лист2!$E$2:$E$505)</f>
        <v>390</v>
      </c>
      <c r="I4" s="16">
        <f t="shared" si="1"/>
        <v>569.1</v>
      </c>
    </row>
    <row r="5" spans="1:24" ht="14.25" customHeight="1" x14ac:dyDescent="0.3">
      <c r="A5" s="8">
        <v>43967</v>
      </c>
      <c r="B5">
        <f t="shared" si="0"/>
        <v>20</v>
      </c>
      <c r="C5" s="9" t="s">
        <v>10</v>
      </c>
      <c r="D5" s="9">
        <v>38947.5</v>
      </c>
      <c r="E5" s="9">
        <v>3395892</v>
      </c>
      <c r="F5" s="7" cm="1">
        <f t="array" ref="F5">_xlfn.XLOOKUP(A5&amp;C5, Лист2!$A$2:$A$505&amp;Лист2!$B$2:$B$505, Лист2!$C$2:$C$505)</f>
        <v>21</v>
      </c>
      <c r="G5" s="15" cm="1">
        <f t="array" ref="G5">_xlfn.XLOOKUP(A5&amp;C5, Лист2!$A$2:$A$505&amp;Лист2!$B$2:$B$505, Лист2!$D$2:$D$505)</f>
        <v>2145</v>
      </c>
      <c r="H5" s="18" cm="1">
        <f t="array" ref="H5">_xlfn.XLOOKUP(A5&amp;C5, Лист2!$A$2:$A$505&amp;Лист2!$B$2:$B$505, Лист2!$E$2:$E$505)</f>
        <v>1947</v>
      </c>
      <c r="I5" s="16">
        <f t="shared" si="1"/>
        <v>1854.6428571428571</v>
      </c>
    </row>
    <row r="6" spans="1:24" ht="14.25" customHeight="1" x14ac:dyDescent="0.3">
      <c r="A6" s="5">
        <v>43970</v>
      </c>
      <c r="B6">
        <f t="shared" si="0"/>
        <v>21</v>
      </c>
      <c r="C6" s="6" t="s">
        <v>10</v>
      </c>
      <c r="D6" s="6">
        <v>31842</v>
      </c>
      <c r="E6" s="6">
        <v>2771116.5</v>
      </c>
      <c r="F6" s="7" cm="1">
        <f t="array" ref="F6">_xlfn.XLOOKUP(A6&amp;C6, Лист2!$A$2:$A$505&amp;Лист2!$B$2:$B$505, Лист2!$C$2:$C$505)</f>
        <v>21</v>
      </c>
      <c r="G6" s="15" cm="1">
        <f t="array" ref="G6">_xlfn.XLOOKUP(A6&amp;C6, Лист2!$A$2:$A$505&amp;Лист2!$B$2:$B$505, Лист2!$D$2:$D$505)</f>
        <v>1860</v>
      </c>
      <c r="H6" s="18" cm="1">
        <f t="array" ref="H6">_xlfn.XLOOKUP(A6&amp;C6, Лист2!$A$2:$A$505&amp;Лист2!$B$2:$B$505, Лист2!$E$2:$E$505)</f>
        <v>1704</v>
      </c>
      <c r="I6" s="16">
        <f t="shared" si="1"/>
        <v>1516.2857142857142</v>
      </c>
    </row>
    <row r="7" spans="1:24" ht="14.25" customHeight="1" x14ac:dyDescent="0.3">
      <c r="A7" s="8">
        <v>43968</v>
      </c>
      <c r="B7">
        <f t="shared" si="0"/>
        <v>20</v>
      </c>
      <c r="C7" s="9" t="s">
        <v>10</v>
      </c>
      <c r="D7" s="9">
        <v>32023.5</v>
      </c>
      <c r="E7" s="9">
        <v>2882458.5</v>
      </c>
      <c r="F7" s="7" cm="1">
        <f t="array" ref="F7">_xlfn.XLOOKUP(A7&amp;C7, Лист2!$A$2:$A$505&amp;Лист2!$B$2:$B$505, Лист2!$C$2:$C$505)</f>
        <v>21</v>
      </c>
      <c r="G7" s="15" cm="1">
        <f t="array" ref="G7">_xlfn.XLOOKUP(A7&amp;C7, Лист2!$A$2:$A$505&amp;Лист2!$B$2:$B$505, Лист2!$D$2:$D$505)</f>
        <v>1874</v>
      </c>
      <c r="H7" s="18" cm="1">
        <f t="array" ref="H7">_xlfn.XLOOKUP(A7&amp;C7, Лист2!$A$2:$A$505&amp;Лист2!$B$2:$B$505, Лист2!$E$2:$E$505)</f>
        <v>1705</v>
      </c>
      <c r="I7" s="16">
        <f t="shared" si="1"/>
        <v>1524.9285714285713</v>
      </c>
    </row>
    <row r="8" spans="1:24" ht="14.25" customHeight="1" x14ac:dyDescent="0.3">
      <c r="A8" s="5">
        <v>43960</v>
      </c>
      <c r="B8">
        <f t="shared" si="0"/>
        <v>19</v>
      </c>
      <c r="C8" s="6" t="s">
        <v>10</v>
      </c>
      <c r="D8" s="6">
        <v>31147.5</v>
      </c>
      <c r="E8" s="6">
        <v>2831019</v>
      </c>
      <c r="F8" s="7" cm="1">
        <f t="array" ref="F8">_xlfn.XLOOKUP(A8&amp;C8, Лист2!$A$2:$A$505&amp;Лист2!$B$2:$B$505, Лист2!$C$2:$C$505)</f>
        <v>21</v>
      </c>
      <c r="G8" s="15" cm="1">
        <f t="array" ref="G8">_xlfn.XLOOKUP(A8&amp;C8, Лист2!$A$2:$A$505&amp;Лист2!$B$2:$B$505, Лист2!$D$2:$D$505)</f>
        <v>1735</v>
      </c>
      <c r="H8" s="18" cm="1">
        <f t="array" ref="H8">_xlfn.XLOOKUP(A8&amp;C8, Лист2!$A$2:$A$505&amp;Лист2!$B$2:$B$505, Лист2!$E$2:$E$505)</f>
        <v>1568</v>
      </c>
      <c r="I8" s="16">
        <f t="shared" si="1"/>
        <v>1483.2142857142858</v>
      </c>
    </row>
    <row r="9" spans="1:24" ht="14.25" customHeight="1" x14ac:dyDescent="0.3">
      <c r="A9" s="8">
        <v>43955</v>
      </c>
      <c r="B9">
        <f t="shared" si="0"/>
        <v>19</v>
      </c>
      <c r="C9" s="9" t="s">
        <v>10</v>
      </c>
      <c r="D9" s="9">
        <v>25566</v>
      </c>
      <c r="E9" s="9">
        <v>2372310</v>
      </c>
      <c r="F9" s="7" cm="1">
        <f t="array" ref="F9">_xlfn.XLOOKUP(A9&amp;C9, Лист2!$A$2:$A$505&amp;Лист2!$B$2:$B$505, Лист2!$C$2:$C$505)</f>
        <v>20</v>
      </c>
      <c r="G9" s="15" cm="1">
        <f t="array" ref="G9">_xlfn.XLOOKUP(A9&amp;C9, Лист2!$A$2:$A$505&amp;Лист2!$B$2:$B$505, Лист2!$D$2:$D$505)</f>
        <v>1519</v>
      </c>
      <c r="H9" s="18" cm="1">
        <f t="array" ref="H9">_xlfn.XLOOKUP(A9&amp;C9, Лист2!$A$2:$A$505&amp;Лист2!$B$2:$B$505, Лист2!$E$2:$E$505)</f>
        <v>1372</v>
      </c>
      <c r="I9" s="16">
        <f t="shared" si="1"/>
        <v>1278.3</v>
      </c>
    </row>
    <row r="10" spans="1:24" ht="14.25" customHeight="1" x14ac:dyDescent="0.3">
      <c r="A10" s="5">
        <v>43950</v>
      </c>
      <c r="B10">
        <f t="shared" si="0"/>
        <v>18</v>
      </c>
      <c r="C10" s="6" t="s">
        <v>10</v>
      </c>
      <c r="D10" s="6">
        <v>29319</v>
      </c>
      <c r="E10" s="6">
        <v>2623480.5</v>
      </c>
      <c r="F10" s="7" cm="1">
        <f t="array" ref="F10">_xlfn.XLOOKUP(A10&amp;C10, Лист2!$A$2:$A$505&amp;Лист2!$B$2:$B$505, Лист2!$C$2:$C$505)</f>
        <v>18</v>
      </c>
      <c r="G10" s="15" cm="1">
        <f t="array" ref="G10">_xlfn.XLOOKUP(A10&amp;C10, Лист2!$A$2:$A$505&amp;Лист2!$B$2:$B$505, Лист2!$D$2:$D$505)</f>
        <v>1684</v>
      </c>
      <c r="H10" s="18" cm="1">
        <f t="array" ref="H10">_xlfn.XLOOKUP(A10&amp;C10, Лист2!$A$2:$A$505&amp;Лист2!$B$2:$B$505, Лист2!$E$2:$E$505)</f>
        <v>1528</v>
      </c>
      <c r="I10" s="16">
        <f t="shared" si="1"/>
        <v>1628.8333333333333</v>
      </c>
    </row>
    <row r="11" spans="1:24" ht="14.25" customHeight="1" x14ac:dyDescent="0.3">
      <c r="A11" s="8">
        <v>43953</v>
      </c>
      <c r="B11">
        <f t="shared" si="0"/>
        <v>18</v>
      </c>
      <c r="C11" s="9" t="s">
        <v>10</v>
      </c>
      <c r="D11" s="9">
        <v>29031</v>
      </c>
      <c r="E11" s="9">
        <v>2711247</v>
      </c>
      <c r="F11" s="7" cm="1">
        <f t="array" ref="F11">_xlfn.XLOOKUP(A11&amp;C11, Лист2!$A$2:$A$505&amp;Лист2!$B$2:$B$505, Лист2!$C$2:$C$505)</f>
        <v>18</v>
      </c>
      <c r="G11" s="15" cm="1">
        <f t="array" ref="G11">_xlfn.XLOOKUP(A11&amp;C11, Лист2!$A$2:$A$505&amp;Лист2!$B$2:$B$505, Лист2!$D$2:$D$505)</f>
        <v>1708</v>
      </c>
      <c r="H11" s="18" cm="1">
        <f t="array" ref="H11">_xlfn.XLOOKUP(A11&amp;C11, Лист2!$A$2:$A$505&amp;Лист2!$B$2:$B$505, Лист2!$E$2:$E$505)</f>
        <v>1534</v>
      </c>
      <c r="I11" s="16">
        <f t="shared" si="1"/>
        <v>1612.8333333333333</v>
      </c>
    </row>
    <row r="12" spans="1:24" ht="14.25" customHeight="1" x14ac:dyDescent="0.3">
      <c r="A12" s="5">
        <v>43977</v>
      </c>
      <c r="B12">
        <f t="shared" si="0"/>
        <v>22</v>
      </c>
      <c r="C12" s="6" t="s">
        <v>10</v>
      </c>
      <c r="D12" s="6">
        <v>33423</v>
      </c>
      <c r="E12" s="6">
        <v>2970330</v>
      </c>
      <c r="F12" s="7" cm="1">
        <f t="array" ref="F12">_xlfn.XLOOKUP(A12&amp;C12, Лист2!$A$2:$A$505&amp;Лист2!$B$2:$B$505, Лист2!$C$2:$C$505)</f>
        <v>20</v>
      </c>
      <c r="G12" s="15" cm="1">
        <f t="array" ref="G12">_xlfn.XLOOKUP(A12&amp;C12, Лист2!$A$2:$A$505&amp;Лист2!$B$2:$B$505, Лист2!$D$2:$D$505)</f>
        <v>2044</v>
      </c>
      <c r="H12" s="18" cm="1">
        <f t="array" ref="H12">_xlfn.XLOOKUP(A12&amp;C12, Лист2!$A$2:$A$505&amp;Лист2!$B$2:$B$505, Лист2!$E$2:$E$505)</f>
        <v>1863</v>
      </c>
      <c r="I12" s="16">
        <f t="shared" si="1"/>
        <v>1671.15</v>
      </c>
    </row>
    <row r="13" spans="1:24" ht="14.25" customHeight="1" x14ac:dyDescent="0.3">
      <c r="A13" s="8">
        <v>43952</v>
      </c>
      <c r="B13">
        <f t="shared" si="0"/>
        <v>18</v>
      </c>
      <c r="C13" s="9" t="s">
        <v>10</v>
      </c>
      <c r="D13" s="9">
        <v>32487</v>
      </c>
      <c r="E13" s="9">
        <v>3031254</v>
      </c>
      <c r="F13" s="7" cm="1">
        <f t="array" ref="F13">_xlfn.XLOOKUP(A13&amp;C13, Лист2!$A$2:$A$505&amp;Лист2!$B$2:$B$505, Лист2!$C$2:$C$505)</f>
        <v>18</v>
      </c>
      <c r="G13" s="15" cm="1">
        <f t="array" ref="G13">_xlfn.XLOOKUP(A13&amp;C13, Лист2!$A$2:$A$505&amp;Лист2!$B$2:$B$505, Лист2!$D$2:$D$505)</f>
        <v>1826</v>
      </c>
      <c r="H13" s="18" cm="1">
        <f t="array" ref="H13">_xlfn.XLOOKUP(A13&amp;C13, Лист2!$A$2:$A$505&amp;Лист2!$B$2:$B$505, Лист2!$E$2:$E$505)</f>
        <v>1633</v>
      </c>
      <c r="I13" s="16">
        <f t="shared" si="1"/>
        <v>1804.8333333333333</v>
      </c>
    </row>
    <row r="14" spans="1:24" ht="14.25" customHeight="1" x14ac:dyDescent="0.3">
      <c r="A14" s="5">
        <v>43963</v>
      </c>
      <c r="B14">
        <f t="shared" si="0"/>
        <v>20</v>
      </c>
      <c r="C14" s="6" t="s">
        <v>10</v>
      </c>
      <c r="D14" s="6">
        <v>28219.5</v>
      </c>
      <c r="E14" s="6">
        <v>2595778.5</v>
      </c>
      <c r="F14" s="7" cm="1">
        <f t="array" ref="F14">_xlfn.XLOOKUP(A14&amp;C14, Лист2!$A$2:$A$505&amp;Лист2!$B$2:$B$505, Лист2!$C$2:$C$505)</f>
        <v>21</v>
      </c>
      <c r="G14" s="15" cm="1">
        <f t="array" ref="G14">_xlfn.XLOOKUP(A14&amp;C14, Лист2!$A$2:$A$505&amp;Лист2!$B$2:$B$505, Лист2!$D$2:$D$505)</f>
        <v>1656</v>
      </c>
      <c r="H14" s="18" cm="1">
        <f t="array" ref="H14">_xlfn.XLOOKUP(A14&amp;C14, Лист2!$A$2:$A$505&amp;Лист2!$B$2:$B$505, Лист2!$E$2:$E$505)</f>
        <v>1516</v>
      </c>
      <c r="I14" s="16">
        <f t="shared" si="1"/>
        <v>1343.7857142857142</v>
      </c>
    </row>
    <row r="15" spans="1:24" ht="14.25" customHeight="1" x14ac:dyDescent="0.3">
      <c r="A15" s="8">
        <v>43972</v>
      </c>
      <c r="B15">
        <f t="shared" si="0"/>
        <v>21</v>
      </c>
      <c r="C15" s="9" t="s">
        <v>10</v>
      </c>
      <c r="D15" s="9">
        <v>31272</v>
      </c>
      <c r="E15" s="9">
        <v>2744382</v>
      </c>
      <c r="F15" s="7" cm="1">
        <f t="array" ref="F15">_xlfn.XLOOKUP(A15&amp;C15, Лист2!$A$2:$A$505&amp;Лист2!$B$2:$B$505, Лист2!$C$2:$C$505)</f>
        <v>21</v>
      </c>
      <c r="G15" s="15" cm="1">
        <f t="array" ref="G15">_xlfn.XLOOKUP(A15&amp;C15, Лист2!$A$2:$A$505&amp;Лист2!$B$2:$B$505, Лист2!$D$2:$D$505)</f>
        <v>1787</v>
      </c>
      <c r="H15" s="18" cm="1">
        <f t="array" ref="H15">_xlfn.XLOOKUP(A15&amp;C15, Лист2!$A$2:$A$505&amp;Лист2!$B$2:$B$505, Лист2!$E$2:$E$505)</f>
        <v>1626</v>
      </c>
      <c r="I15" s="16">
        <f t="shared" si="1"/>
        <v>1489.1428571428571</v>
      </c>
    </row>
    <row r="16" spans="1:24" ht="14.25" customHeight="1" x14ac:dyDescent="0.3">
      <c r="A16" s="5">
        <v>43971</v>
      </c>
      <c r="B16">
        <f t="shared" si="0"/>
        <v>21</v>
      </c>
      <c r="C16" s="6" t="s">
        <v>10</v>
      </c>
      <c r="D16" s="6">
        <v>34077</v>
      </c>
      <c r="E16" s="6">
        <v>2929330.5</v>
      </c>
      <c r="F16" s="7" cm="1">
        <f t="array" ref="F16">_xlfn.XLOOKUP(A16&amp;C16, Лист2!$A$2:$A$505&amp;Лист2!$B$2:$B$505, Лист2!$C$2:$C$505)</f>
        <v>21</v>
      </c>
      <c r="G16" s="15" cm="1">
        <f t="array" ref="G16">_xlfn.XLOOKUP(A16&amp;C16, Лист2!$A$2:$A$505&amp;Лист2!$B$2:$B$505, Лист2!$D$2:$D$505)</f>
        <v>1921</v>
      </c>
      <c r="H16" s="18" cm="1">
        <f t="array" ref="H16">_xlfn.XLOOKUP(A16&amp;C16, Лист2!$A$2:$A$505&amp;Лист2!$B$2:$B$505, Лист2!$E$2:$E$505)</f>
        <v>1767</v>
      </c>
      <c r="I16" s="16">
        <f t="shared" si="1"/>
        <v>1622.7142857142858</v>
      </c>
    </row>
    <row r="17" spans="1:9" ht="14.25" customHeight="1" x14ac:dyDescent="0.3">
      <c r="A17" s="8">
        <v>43956</v>
      </c>
      <c r="B17">
        <f t="shared" si="0"/>
        <v>19</v>
      </c>
      <c r="C17" s="9" t="s">
        <v>10</v>
      </c>
      <c r="D17" s="9">
        <v>31566</v>
      </c>
      <c r="E17" s="9">
        <v>2906763</v>
      </c>
      <c r="F17" s="7" cm="1">
        <f t="array" ref="F17">_xlfn.XLOOKUP(A17&amp;C17, Лист2!$A$2:$A$505&amp;Лист2!$B$2:$B$505, Лист2!$C$2:$C$505)</f>
        <v>20</v>
      </c>
      <c r="G17" s="15" cm="1">
        <f t="array" ref="G17">_xlfn.XLOOKUP(A17&amp;C17, Лист2!$A$2:$A$505&amp;Лист2!$B$2:$B$505, Лист2!$D$2:$D$505)</f>
        <v>1773</v>
      </c>
      <c r="H17" s="18" cm="1">
        <f t="array" ref="H17">_xlfn.XLOOKUP(A17&amp;C17, Лист2!$A$2:$A$505&amp;Лист2!$B$2:$B$505, Лист2!$E$2:$E$505)</f>
        <v>1604</v>
      </c>
      <c r="I17" s="16">
        <f t="shared" si="1"/>
        <v>1578.3</v>
      </c>
    </row>
    <row r="18" spans="1:9" ht="14.25" customHeight="1" x14ac:dyDescent="0.3">
      <c r="A18" s="5">
        <v>43949</v>
      </c>
      <c r="B18">
        <f t="shared" si="0"/>
        <v>18</v>
      </c>
      <c r="C18" s="6" t="s">
        <v>10</v>
      </c>
      <c r="D18" s="6">
        <v>26940</v>
      </c>
      <c r="E18" s="6">
        <v>2411587.5</v>
      </c>
      <c r="F18" s="7" cm="1">
        <f t="array" ref="F18">_xlfn.XLOOKUP(A18&amp;C18, Лист2!$A$2:$A$505&amp;Лист2!$B$2:$B$505, Лист2!$C$2:$C$505)</f>
        <v>18</v>
      </c>
      <c r="G18" s="15" cm="1">
        <f t="array" ref="G18">_xlfn.XLOOKUP(A18&amp;C18, Лист2!$A$2:$A$505&amp;Лист2!$B$2:$B$505, Лист2!$D$2:$D$505)</f>
        <v>1539</v>
      </c>
      <c r="H18" s="18" cm="1">
        <f t="array" ref="H18">_xlfn.XLOOKUP(A18&amp;C18, Лист2!$A$2:$A$505&amp;Лист2!$B$2:$B$505, Лист2!$E$2:$E$505)</f>
        <v>1404</v>
      </c>
      <c r="I18" s="16">
        <f t="shared" si="1"/>
        <v>1496.6666666666667</v>
      </c>
    </row>
    <row r="19" spans="1:9" ht="14.25" customHeight="1" x14ac:dyDescent="0.3">
      <c r="A19" s="8">
        <v>43964</v>
      </c>
      <c r="B19">
        <f t="shared" si="0"/>
        <v>20</v>
      </c>
      <c r="C19" s="9" t="s">
        <v>10</v>
      </c>
      <c r="D19" s="9">
        <v>29241</v>
      </c>
      <c r="E19" s="9">
        <v>2629782</v>
      </c>
      <c r="F19" s="7" cm="1">
        <f t="array" ref="F19">_xlfn.XLOOKUP(A19&amp;C19, Лист2!$A$2:$A$505&amp;Лист2!$B$2:$B$505, Лист2!$C$2:$C$505)</f>
        <v>21</v>
      </c>
      <c r="G19" s="15" cm="1">
        <f t="array" ref="G19">_xlfn.XLOOKUP(A19&amp;C19, Лист2!$A$2:$A$505&amp;Лист2!$B$2:$B$505, Лист2!$D$2:$D$505)</f>
        <v>1698</v>
      </c>
      <c r="H19" s="18" cm="1">
        <f t="array" ref="H19">_xlfn.XLOOKUP(A19&amp;C19, Лист2!$A$2:$A$505&amp;Лист2!$B$2:$B$505, Лист2!$E$2:$E$505)</f>
        <v>1554</v>
      </c>
      <c r="I19" s="16">
        <f t="shared" si="1"/>
        <v>1392.4285714285713</v>
      </c>
    </row>
    <row r="20" spans="1:9" ht="14.25" customHeight="1" x14ac:dyDescent="0.3">
      <c r="A20" s="5">
        <v>43954</v>
      </c>
      <c r="B20">
        <f t="shared" si="0"/>
        <v>18</v>
      </c>
      <c r="C20" s="6" t="s">
        <v>10</v>
      </c>
      <c r="D20" s="6">
        <v>26082</v>
      </c>
      <c r="E20" s="6">
        <v>2434914</v>
      </c>
      <c r="F20" s="7" cm="1">
        <f t="array" ref="F20">_xlfn.XLOOKUP(A20&amp;C20, Лист2!$A$2:$A$505&amp;Лист2!$B$2:$B$505, Лист2!$C$2:$C$505)</f>
        <v>20</v>
      </c>
      <c r="G20" s="15" cm="1">
        <f t="array" ref="G20">_xlfn.XLOOKUP(A20&amp;C20, Лист2!$A$2:$A$505&amp;Лист2!$B$2:$B$505, Лист2!$D$2:$D$505)</f>
        <v>1520</v>
      </c>
      <c r="H20" s="18" cm="1">
        <f t="array" ref="H20">_xlfn.XLOOKUP(A20&amp;C20, Лист2!$A$2:$A$505&amp;Лист2!$B$2:$B$505, Лист2!$E$2:$E$505)</f>
        <v>1373</v>
      </c>
      <c r="I20" s="16">
        <f t="shared" si="1"/>
        <v>1304.0999999999999</v>
      </c>
    </row>
    <row r="21" spans="1:9" ht="14.25" customHeight="1" x14ac:dyDescent="0.3">
      <c r="A21" s="8">
        <v>43957</v>
      </c>
      <c r="B21">
        <f t="shared" si="0"/>
        <v>19</v>
      </c>
      <c r="C21" s="9" t="s">
        <v>10</v>
      </c>
      <c r="D21" s="9">
        <v>32511</v>
      </c>
      <c r="E21" s="9">
        <v>2938623</v>
      </c>
      <c r="F21" s="7" cm="1">
        <f t="array" ref="F21">_xlfn.XLOOKUP(A21&amp;C21, Лист2!$A$2:$A$505&amp;Лист2!$B$2:$B$505, Лист2!$C$2:$C$505)</f>
        <v>20</v>
      </c>
      <c r="G21" s="15" cm="1">
        <f t="array" ref="G21">_xlfn.XLOOKUP(A21&amp;C21, Лист2!$A$2:$A$505&amp;Лист2!$B$2:$B$505, Лист2!$D$2:$D$505)</f>
        <v>1784</v>
      </c>
      <c r="H21" s="18" cm="1">
        <f t="array" ref="H21">_xlfn.XLOOKUP(A21&amp;C21, Лист2!$A$2:$A$505&amp;Лист2!$B$2:$B$505, Лист2!$E$2:$E$505)</f>
        <v>1632</v>
      </c>
      <c r="I21" s="16">
        <f t="shared" si="1"/>
        <v>1625.55</v>
      </c>
    </row>
    <row r="22" spans="1:9" ht="14.25" customHeight="1" x14ac:dyDescent="0.3">
      <c r="A22" s="5">
        <v>43974</v>
      </c>
      <c r="B22">
        <f t="shared" si="0"/>
        <v>21</v>
      </c>
      <c r="C22" s="6" t="s">
        <v>10</v>
      </c>
      <c r="D22" s="6">
        <v>42703.5</v>
      </c>
      <c r="E22" s="6">
        <v>3628726.5</v>
      </c>
      <c r="F22" s="7" cm="1">
        <f t="array" ref="F22">_xlfn.XLOOKUP(A22&amp;C22, Лист2!$A$2:$A$505&amp;Лист2!$B$2:$B$505, Лист2!$C$2:$C$505)</f>
        <v>21</v>
      </c>
      <c r="G22" s="15" cm="1">
        <f t="array" ref="G22">_xlfn.XLOOKUP(A22&amp;C22, Лист2!$A$2:$A$505&amp;Лист2!$B$2:$B$505, Лист2!$D$2:$D$505)</f>
        <v>2340</v>
      </c>
      <c r="H22" s="18" cm="1">
        <f t="array" ref="H22">_xlfn.XLOOKUP(A22&amp;C22, Лист2!$A$2:$A$505&amp;Лист2!$B$2:$B$505, Лист2!$E$2:$E$505)</f>
        <v>2146</v>
      </c>
      <c r="I22" s="16">
        <f t="shared" si="1"/>
        <v>2033.5</v>
      </c>
    </row>
    <row r="23" spans="1:9" ht="14.25" customHeight="1" x14ac:dyDescent="0.3">
      <c r="A23" s="8">
        <v>43976</v>
      </c>
      <c r="B23">
        <f t="shared" si="0"/>
        <v>22</v>
      </c>
      <c r="C23" s="9" t="s">
        <v>10</v>
      </c>
      <c r="D23" s="9">
        <v>35592</v>
      </c>
      <c r="E23" s="9">
        <v>3176580</v>
      </c>
      <c r="F23" s="7" cm="1">
        <f t="array" ref="F23">_xlfn.XLOOKUP(A23&amp;C23, Лист2!$A$2:$A$505&amp;Лист2!$B$2:$B$505, Лист2!$C$2:$C$505)</f>
        <v>20</v>
      </c>
      <c r="G23" s="15" cm="1">
        <f t="array" ref="G23">_xlfn.XLOOKUP(A23&amp;C23, Лист2!$A$2:$A$505&amp;Лист2!$B$2:$B$505, Лист2!$D$2:$D$505)</f>
        <v>2087</v>
      </c>
      <c r="H23" s="18" cm="1">
        <f t="array" ref="H23">_xlfn.XLOOKUP(A23&amp;C23, Лист2!$A$2:$A$505&amp;Лист2!$B$2:$B$505, Лист2!$E$2:$E$505)</f>
        <v>1914</v>
      </c>
      <c r="I23" s="16">
        <f t="shared" si="1"/>
        <v>1779.6</v>
      </c>
    </row>
    <row r="24" spans="1:9" ht="14.25" customHeight="1" x14ac:dyDescent="0.3">
      <c r="A24" s="5">
        <v>43951</v>
      </c>
      <c r="B24">
        <f t="shared" si="0"/>
        <v>18</v>
      </c>
      <c r="C24" s="6" t="s">
        <v>10</v>
      </c>
      <c r="D24" s="6">
        <v>30445.5</v>
      </c>
      <c r="E24" s="6">
        <v>2817196.5</v>
      </c>
      <c r="F24" s="7" cm="1">
        <f t="array" ref="F24">_xlfn.XLOOKUP(A24&amp;C24, Лист2!$A$2:$A$505&amp;Лист2!$B$2:$B$505, Лист2!$C$2:$C$505)</f>
        <v>19</v>
      </c>
      <c r="G24" s="15" cm="1">
        <f t="array" ref="G24">_xlfn.XLOOKUP(A24&amp;C24, Лист2!$A$2:$A$505&amp;Лист2!$B$2:$B$505, Лист2!$D$2:$D$505)</f>
        <v>1712</v>
      </c>
      <c r="H24" s="18" cm="1">
        <f t="array" ref="H24">_xlfn.XLOOKUP(A24&amp;C24, Лист2!$A$2:$A$505&amp;Лист2!$B$2:$B$505, Лист2!$E$2:$E$505)</f>
        <v>1552</v>
      </c>
      <c r="I24" s="16">
        <f t="shared" si="1"/>
        <v>1602.3947368421052</v>
      </c>
    </row>
    <row r="25" spans="1:9" ht="14.25" customHeight="1" x14ac:dyDescent="0.3">
      <c r="A25" s="8">
        <v>43961</v>
      </c>
      <c r="B25">
        <f t="shared" si="0"/>
        <v>19</v>
      </c>
      <c r="C25" s="9" t="s">
        <v>10</v>
      </c>
      <c r="D25" s="9">
        <v>36619.5</v>
      </c>
      <c r="E25" s="9">
        <v>3312967.5</v>
      </c>
      <c r="F25" s="7" cm="1">
        <f t="array" ref="F25">_xlfn.XLOOKUP(A25&amp;C25, Лист2!$A$2:$A$505&amp;Лист2!$B$2:$B$505, Лист2!$C$2:$C$505)</f>
        <v>21</v>
      </c>
      <c r="G25" s="15" cm="1">
        <f t="array" ref="G25">_xlfn.XLOOKUP(A25&amp;C25, Лист2!$A$2:$A$505&amp;Лист2!$B$2:$B$505, Лист2!$D$2:$D$505)</f>
        <v>2016</v>
      </c>
      <c r="H25" s="18" cm="1">
        <f t="array" ref="H25">_xlfn.XLOOKUP(A25&amp;C25, Лист2!$A$2:$A$505&amp;Лист2!$B$2:$B$505, Лист2!$E$2:$E$505)</f>
        <v>1846</v>
      </c>
      <c r="I25" s="16">
        <f t="shared" si="1"/>
        <v>1743.7857142857142</v>
      </c>
    </row>
    <row r="26" spans="1:9" ht="14.25" customHeight="1" x14ac:dyDescent="0.3">
      <c r="A26" s="5">
        <v>43959</v>
      </c>
      <c r="B26">
        <f t="shared" si="0"/>
        <v>19</v>
      </c>
      <c r="C26" s="6" t="s">
        <v>10</v>
      </c>
      <c r="D26" s="6">
        <v>29409</v>
      </c>
      <c r="E26" s="6">
        <v>2645160</v>
      </c>
      <c r="F26" s="7" cm="1">
        <f t="array" ref="F26">_xlfn.XLOOKUP(A26&amp;C26, Лист2!$A$2:$A$505&amp;Лист2!$B$2:$B$505, Лист2!$C$2:$C$505)</f>
        <v>21</v>
      </c>
      <c r="G26" s="15" cm="1">
        <f t="array" ref="G26">_xlfn.XLOOKUP(A26&amp;C26, Лист2!$A$2:$A$505&amp;Лист2!$B$2:$B$505, Лист2!$D$2:$D$505)</f>
        <v>1646</v>
      </c>
      <c r="H26" s="18" cm="1">
        <f t="array" ref="H26">_xlfn.XLOOKUP(A26&amp;C26, Лист2!$A$2:$A$505&amp;Лист2!$B$2:$B$505, Лист2!$E$2:$E$505)</f>
        <v>1492</v>
      </c>
      <c r="I26" s="16">
        <f t="shared" si="1"/>
        <v>1400.4285714285713</v>
      </c>
    </row>
    <row r="27" spans="1:9" ht="14.25" customHeight="1" x14ac:dyDescent="0.3">
      <c r="A27" s="8">
        <v>43958</v>
      </c>
      <c r="B27">
        <f t="shared" si="0"/>
        <v>19</v>
      </c>
      <c r="C27" s="9" t="s">
        <v>10</v>
      </c>
      <c r="D27" s="9">
        <v>27018</v>
      </c>
      <c r="E27" s="9">
        <v>2472213</v>
      </c>
      <c r="F27" s="7" cm="1">
        <f t="array" ref="F27">_xlfn.XLOOKUP(A27&amp;C27, Лист2!$A$2:$A$505&amp;Лист2!$B$2:$B$505, Лист2!$C$2:$C$505)</f>
        <v>21</v>
      </c>
      <c r="G27" s="15" cm="1">
        <f t="array" ref="G27">_xlfn.XLOOKUP(A27&amp;C27, Лист2!$A$2:$A$505&amp;Лист2!$B$2:$B$505, Лист2!$D$2:$D$505)</f>
        <v>1542</v>
      </c>
      <c r="H27" s="18" cm="1">
        <f t="array" ref="H27">_xlfn.XLOOKUP(A27&amp;C27, Лист2!$A$2:$A$505&amp;Лист2!$B$2:$B$505, Лист2!$E$2:$E$505)</f>
        <v>1405</v>
      </c>
      <c r="I27" s="16">
        <f t="shared" si="1"/>
        <v>1286.5714285714287</v>
      </c>
    </row>
    <row r="28" spans="1:9" ht="14.25" customHeight="1" x14ac:dyDescent="0.3">
      <c r="A28" s="5">
        <v>43975</v>
      </c>
      <c r="B28">
        <f t="shared" si="0"/>
        <v>21</v>
      </c>
      <c r="C28" s="6" t="s">
        <v>10</v>
      </c>
      <c r="D28" s="6">
        <v>34303.5</v>
      </c>
      <c r="E28" s="6">
        <v>2924746.5</v>
      </c>
      <c r="F28" s="7" cm="1">
        <f t="array" ref="F28">_xlfn.XLOOKUP(A28&amp;C28, Лист2!$A$2:$A$505&amp;Лист2!$B$2:$B$505, Лист2!$C$2:$C$505)</f>
        <v>20</v>
      </c>
      <c r="G28" s="15" cm="1">
        <f t="array" ref="G28">_xlfn.XLOOKUP(A28&amp;C28, Лист2!$A$2:$A$505&amp;Лист2!$B$2:$B$505, Лист2!$D$2:$D$505)</f>
        <v>1999</v>
      </c>
      <c r="H28" s="18" cm="1">
        <f t="array" ref="H28">_xlfn.XLOOKUP(A28&amp;C28, Лист2!$A$2:$A$505&amp;Лист2!$B$2:$B$505, Лист2!$E$2:$E$505)</f>
        <v>1829</v>
      </c>
      <c r="I28" s="16">
        <f t="shared" si="1"/>
        <v>1715.175</v>
      </c>
    </row>
    <row r="29" spans="1:9" ht="14.25" customHeight="1" x14ac:dyDescent="0.3">
      <c r="A29" s="8">
        <v>43982</v>
      </c>
      <c r="B29">
        <f t="shared" si="0"/>
        <v>22</v>
      </c>
      <c r="C29" s="9" t="s">
        <v>10</v>
      </c>
      <c r="D29" s="9">
        <v>36999</v>
      </c>
      <c r="E29" s="9">
        <v>3473895</v>
      </c>
      <c r="F29" s="7" cm="1">
        <f t="array" ref="F29">_xlfn.XLOOKUP(A29&amp;C29, Лист2!$A$2:$A$505&amp;Лист2!$B$2:$B$505, Лист2!$C$2:$C$505)</f>
        <v>21</v>
      </c>
      <c r="G29" s="15" cm="1">
        <f t="array" ref="G29">_xlfn.XLOOKUP(A29&amp;C29, Лист2!$A$2:$A$505&amp;Лист2!$B$2:$B$505, Лист2!$D$2:$D$505)</f>
        <v>2271</v>
      </c>
      <c r="H29" s="18" cm="1">
        <f t="array" ref="H29">_xlfn.XLOOKUP(A29&amp;C29, Лист2!$A$2:$A$505&amp;Лист2!$B$2:$B$505, Лист2!$E$2:$E$505)</f>
        <v>2085</v>
      </c>
      <c r="I29" s="16">
        <f t="shared" si="1"/>
        <v>1761.8571428571429</v>
      </c>
    </row>
    <row r="30" spans="1:9" ht="14.25" customHeight="1" x14ac:dyDescent="0.3">
      <c r="A30" s="5">
        <v>43981</v>
      </c>
      <c r="B30">
        <f t="shared" si="0"/>
        <v>22</v>
      </c>
      <c r="C30" s="6" t="s">
        <v>10</v>
      </c>
      <c r="D30" s="6">
        <v>44001</v>
      </c>
      <c r="E30" s="6">
        <v>3921784.5</v>
      </c>
      <c r="F30" s="7" cm="1">
        <f t="array" ref="F30">_xlfn.XLOOKUP(A30&amp;C30, Лист2!$A$2:$A$505&amp;Лист2!$B$2:$B$505, Лист2!$C$2:$C$505)</f>
        <v>20</v>
      </c>
      <c r="G30" s="15" cm="1">
        <f t="array" ref="G30">_xlfn.XLOOKUP(A30&amp;C30, Лист2!$A$2:$A$505&amp;Лист2!$B$2:$B$505, Лист2!$D$2:$D$505)</f>
        <v>2597</v>
      </c>
      <c r="H30" s="18" cm="1">
        <f t="array" ref="H30">_xlfn.XLOOKUP(A30&amp;C30, Лист2!$A$2:$A$505&amp;Лист2!$B$2:$B$505, Лист2!$E$2:$E$505)</f>
        <v>2376</v>
      </c>
      <c r="I30" s="16">
        <f t="shared" si="1"/>
        <v>2200.0500000000002</v>
      </c>
    </row>
    <row r="31" spans="1:9" ht="14.25" customHeight="1" x14ac:dyDescent="0.3">
      <c r="A31" s="8">
        <v>43979</v>
      </c>
      <c r="B31">
        <f t="shared" si="0"/>
        <v>22</v>
      </c>
      <c r="C31" s="9" t="s">
        <v>10</v>
      </c>
      <c r="D31" s="9">
        <v>30982.5</v>
      </c>
      <c r="E31" s="9">
        <v>2827773</v>
      </c>
      <c r="F31" s="7" cm="1">
        <f t="array" ref="F31">_xlfn.XLOOKUP(A31&amp;C31, Лист2!$A$2:$A$505&amp;Лист2!$B$2:$B$505, Лист2!$C$2:$C$505)</f>
        <v>20</v>
      </c>
      <c r="G31" s="15" cm="1">
        <f t="array" ref="G31">_xlfn.XLOOKUP(A31&amp;C31, Лист2!$A$2:$A$505&amp;Лист2!$B$2:$B$505, Лист2!$D$2:$D$505)</f>
        <v>1886</v>
      </c>
      <c r="H31" s="18" cm="1">
        <f t="array" ref="H31">_xlfn.XLOOKUP(A31&amp;C31, Лист2!$A$2:$A$505&amp;Лист2!$B$2:$B$505, Лист2!$E$2:$E$505)</f>
        <v>1736</v>
      </c>
      <c r="I31" s="16">
        <f t="shared" si="1"/>
        <v>1549.125</v>
      </c>
    </row>
    <row r="32" spans="1:9" ht="14.25" customHeight="1" x14ac:dyDescent="0.3">
      <c r="A32" s="5">
        <v>43967</v>
      </c>
      <c r="B32">
        <f t="shared" si="0"/>
        <v>20</v>
      </c>
      <c r="C32" s="6" t="s">
        <v>11</v>
      </c>
      <c r="D32" s="6">
        <v>88063.5</v>
      </c>
      <c r="E32" s="6">
        <v>7583758.5</v>
      </c>
      <c r="F32" s="7" cm="1">
        <f t="array" ref="F32">_xlfn.XLOOKUP(A32&amp;C32, Лист2!$A$2:$A$505&amp;Лист2!$B$2:$B$505, Лист2!$C$2:$C$505)</f>
        <v>31</v>
      </c>
      <c r="G32" s="15" cm="1">
        <f t="array" ref="G32">_xlfn.XLOOKUP(A32&amp;C32, Лист2!$A$2:$A$505&amp;Лист2!$B$2:$B$505, Лист2!$D$2:$D$505)</f>
        <v>5593</v>
      </c>
      <c r="H32" s="18" cm="1">
        <f t="array" ref="H32">_xlfn.XLOOKUP(A32&amp;C32, Лист2!$A$2:$A$505&amp;Лист2!$B$2:$B$505, Лист2!$E$2:$E$505)</f>
        <v>5177</v>
      </c>
      <c r="I32" s="16">
        <f t="shared" si="1"/>
        <v>2840.7580645161293</v>
      </c>
    </row>
    <row r="33" spans="1:9" ht="14.25" customHeight="1" x14ac:dyDescent="0.3">
      <c r="A33" s="8">
        <v>43970</v>
      </c>
      <c r="B33">
        <f t="shared" si="0"/>
        <v>21</v>
      </c>
      <c r="C33" s="9" t="s">
        <v>11</v>
      </c>
      <c r="D33" s="9">
        <v>84024</v>
      </c>
      <c r="E33" s="9">
        <v>6815511</v>
      </c>
      <c r="F33" s="7" cm="1">
        <f t="array" ref="F33">_xlfn.XLOOKUP(A33&amp;C33, Лист2!$A$2:$A$505&amp;Лист2!$B$2:$B$505, Лист2!$C$2:$C$505)</f>
        <v>31</v>
      </c>
      <c r="G33" s="15" cm="1">
        <f t="array" ref="G33">_xlfn.XLOOKUP(A33&amp;C33, Лист2!$A$2:$A$505&amp;Лист2!$B$2:$B$505, Лист2!$D$2:$D$505)</f>
        <v>5389</v>
      </c>
      <c r="H33" s="18" cm="1">
        <f t="array" ref="H33">_xlfn.XLOOKUP(A33&amp;C33, Лист2!$A$2:$A$505&amp;Лист2!$B$2:$B$505, Лист2!$E$2:$E$505)</f>
        <v>5024</v>
      </c>
      <c r="I33" s="16">
        <f t="shared" si="1"/>
        <v>2710.4516129032259</v>
      </c>
    </row>
    <row r="34" spans="1:9" ht="14.25" customHeight="1" x14ac:dyDescent="0.3">
      <c r="A34" s="5">
        <v>43968</v>
      </c>
      <c r="B34">
        <f t="shared" si="0"/>
        <v>20</v>
      </c>
      <c r="C34" s="6" t="s">
        <v>11</v>
      </c>
      <c r="D34" s="6">
        <v>78057</v>
      </c>
      <c r="E34" s="6">
        <v>6774946.5</v>
      </c>
      <c r="F34" s="7" cm="1">
        <f t="array" ref="F34">_xlfn.XLOOKUP(A34&amp;C34, Лист2!$A$2:$A$505&amp;Лист2!$B$2:$B$505, Лист2!$C$2:$C$505)</f>
        <v>31</v>
      </c>
      <c r="G34" s="15" cm="1">
        <f t="array" ref="G34">_xlfn.XLOOKUP(A34&amp;C34, Лист2!$A$2:$A$505&amp;Лист2!$B$2:$B$505, Лист2!$D$2:$D$505)</f>
        <v>5206</v>
      </c>
      <c r="H34" s="18" cm="1">
        <f t="array" ref="H34">_xlfn.XLOOKUP(A34&amp;C34, Лист2!$A$2:$A$505&amp;Лист2!$B$2:$B$505, Лист2!$E$2:$E$505)</f>
        <v>4843</v>
      </c>
      <c r="I34" s="16">
        <f t="shared" si="1"/>
        <v>2517.9677419354839</v>
      </c>
    </row>
    <row r="35" spans="1:9" ht="14.25" customHeight="1" x14ac:dyDescent="0.3">
      <c r="A35" s="8">
        <v>43960</v>
      </c>
      <c r="B35">
        <f t="shared" si="0"/>
        <v>19</v>
      </c>
      <c r="C35" s="9" t="s">
        <v>11</v>
      </c>
      <c r="D35" s="9">
        <v>69720</v>
      </c>
      <c r="E35" s="9">
        <v>6264933</v>
      </c>
      <c r="F35" s="7" cm="1">
        <f t="array" ref="F35">_xlfn.XLOOKUP(A35&amp;C35, Лист2!$A$2:$A$505&amp;Лист2!$B$2:$B$505, Лист2!$C$2:$C$505)</f>
        <v>31</v>
      </c>
      <c r="G35" s="15" cm="1">
        <f t="array" ref="G35">_xlfn.XLOOKUP(A35&amp;C35, Лист2!$A$2:$A$505&amp;Лист2!$B$2:$B$505, Лист2!$D$2:$D$505)</f>
        <v>4556</v>
      </c>
      <c r="H35" s="18" cm="1">
        <f t="array" ref="H35">_xlfn.XLOOKUP(A35&amp;C35, Лист2!$A$2:$A$505&amp;Лист2!$B$2:$B$505, Лист2!$E$2:$E$505)</f>
        <v>4220</v>
      </c>
      <c r="I35" s="16">
        <f t="shared" si="1"/>
        <v>2249.0322580645161</v>
      </c>
    </row>
    <row r="36" spans="1:9" ht="14.25" customHeight="1" x14ac:dyDescent="0.3">
      <c r="A36" s="5">
        <v>43955</v>
      </c>
      <c r="B36">
        <f t="shared" si="0"/>
        <v>19</v>
      </c>
      <c r="C36" s="6" t="s">
        <v>11</v>
      </c>
      <c r="D36" s="6">
        <v>72928.5</v>
      </c>
      <c r="E36" s="6">
        <v>6642249</v>
      </c>
      <c r="F36" s="7" cm="1">
        <f t="array" ref="F36">_xlfn.XLOOKUP(A36&amp;C36, Лист2!$A$2:$A$505&amp;Лист2!$B$2:$B$505, Лист2!$C$2:$C$505)</f>
        <v>31</v>
      </c>
      <c r="G36" s="15" cm="1">
        <f t="array" ref="G36">_xlfn.XLOOKUP(A36&amp;C36, Лист2!$A$2:$A$505&amp;Лист2!$B$2:$B$505, Лист2!$D$2:$D$505)</f>
        <v>4968</v>
      </c>
      <c r="H36" s="18" cm="1">
        <f t="array" ref="H36">_xlfn.XLOOKUP(A36&amp;C36, Лист2!$A$2:$A$505&amp;Лист2!$B$2:$B$505, Лист2!$E$2:$E$505)</f>
        <v>4596</v>
      </c>
      <c r="I36" s="16">
        <f t="shared" si="1"/>
        <v>2352.5322580645161</v>
      </c>
    </row>
    <row r="37" spans="1:9" ht="14.25" customHeight="1" x14ac:dyDescent="0.3">
      <c r="A37" s="8">
        <v>43950</v>
      </c>
      <c r="B37">
        <f t="shared" si="0"/>
        <v>18</v>
      </c>
      <c r="C37" s="9" t="s">
        <v>11</v>
      </c>
      <c r="D37" s="9">
        <v>79527</v>
      </c>
      <c r="E37" s="9">
        <v>7180498.5</v>
      </c>
      <c r="F37" s="7" cm="1">
        <f t="array" ref="F37">_xlfn.XLOOKUP(A37&amp;C37, Лист2!$A$2:$A$505&amp;Лист2!$B$2:$B$505, Лист2!$C$2:$C$505)</f>
        <v>31</v>
      </c>
      <c r="G37" s="15" cm="1">
        <f t="array" ref="G37">_xlfn.XLOOKUP(A37&amp;C37, Лист2!$A$2:$A$505&amp;Лист2!$B$2:$B$505, Лист2!$D$2:$D$505)</f>
        <v>5378</v>
      </c>
      <c r="H37" s="18" cm="1">
        <f t="array" ref="H37">_xlfn.XLOOKUP(A37&amp;C37, Лист2!$A$2:$A$505&amp;Лист2!$B$2:$B$505, Лист2!$E$2:$E$505)</f>
        <v>4985</v>
      </c>
      <c r="I37" s="16">
        <f t="shared" si="1"/>
        <v>2565.3870967741937</v>
      </c>
    </row>
    <row r="38" spans="1:9" ht="14.25" customHeight="1" x14ac:dyDescent="0.3">
      <c r="A38" s="5">
        <v>43953</v>
      </c>
      <c r="B38">
        <f t="shared" si="0"/>
        <v>18</v>
      </c>
      <c r="C38" s="6" t="s">
        <v>11</v>
      </c>
      <c r="D38" s="6">
        <v>60463.5</v>
      </c>
      <c r="E38" s="6">
        <v>5554192.5</v>
      </c>
      <c r="F38" s="7" cm="1">
        <f t="array" ref="F38">_xlfn.XLOOKUP(A38&amp;C38, Лист2!$A$2:$A$505&amp;Лист2!$B$2:$B$505, Лист2!$C$2:$C$505)</f>
        <v>31</v>
      </c>
      <c r="G38" s="15" cm="1">
        <f t="array" ref="G38">_xlfn.XLOOKUP(A38&amp;C38, Лист2!$A$2:$A$505&amp;Лист2!$B$2:$B$505, Лист2!$D$2:$D$505)</f>
        <v>4157</v>
      </c>
      <c r="H38" s="18" cm="1">
        <f t="array" ref="H38">_xlfn.XLOOKUP(A38&amp;C38, Лист2!$A$2:$A$505&amp;Лист2!$B$2:$B$505, Лист2!$E$2:$E$505)</f>
        <v>3823</v>
      </c>
      <c r="I38" s="16">
        <f t="shared" si="1"/>
        <v>1950.4354838709678</v>
      </c>
    </row>
    <row r="39" spans="1:9" ht="14.25" customHeight="1" x14ac:dyDescent="0.3">
      <c r="A39" s="8">
        <v>43977</v>
      </c>
      <c r="B39">
        <f t="shared" si="0"/>
        <v>22</v>
      </c>
      <c r="C39" s="9" t="s">
        <v>11</v>
      </c>
      <c r="D39" s="9">
        <v>79975.5</v>
      </c>
      <c r="E39" s="9">
        <v>6676459.5</v>
      </c>
      <c r="F39" s="7" cm="1">
        <f t="array" ref="F39">_xlfn.XLOOKUP(A39&amp;C39, Лист2!$A$2:$A$505&amp;Лист2!$B$2:$B$505, Лист2!$C$2:$C$505)</f>
        <v>31</v>
      </c>
      <c r="G39" s="15" cm="1">
        <f t="array" ref="G39">_xlfn.XLOOKUP(A39&amp;C39, Лист2!$A$2:$A$505&amp;Лист2!$B$2:$B$505, Лист2!$D$2:$D$505)</f>
        <v>5493</v>
      </c>
      <c r="H39" s="18" cm="1">
        <f t="array" ref="H39">_xlfn.XLOOKUP(A39&amp;C39, Лист2!$A$2:$A$505&amp;Лист2!$B$2:$B$505, Лист2!$E$2:$E$505)</f>
        <v>5119</v>
      </c>
      <c r="I39" s="16">
        <f t="shared" si="1"/>
        <v>2579.8548387096776</v>
      </c>
    </row>
    <row r="40" spans="1:9" ht="14.25" customHeight="1" x14ac:dyDescent="0.3">
      <c r="A40" s="5">
        <v>43952</v>
      </c>
      <c r="B40">
        <f t="shared" si="0"/>
        <v>18</v>
      </c>
      <c r="C40" s="6" t="s">
        <v>11</v>
      </c>
      <c r="D40" s="6">
        <v>97534.5</v>
      </c>
      <c r="E40" s="6">
        <v>8893024.5</v>
      </c>
      <c r="F40" s="7" cm="1">
        <f t="array" ref="F40">_xlfn.XLOOKUP(A40&amp;C40, Лист2!$A$2:$A$505&amp;Лист2!$B$2:$B$505, Лист2!$C$2:$C$505)</f>
        <v>31</v>
      </c>
      <c r="G40" s="15" cm="1">
        <f t="array" ref="G40">_xlfn.XLOOKUP(A40&amp;C40, Лист2!$A$2:$A$505&amp;Лист2!$B$2:$B$505, Лист2!$D$2:$D$505)</f>
        <v>6118</v>
      </c>
      <c r="H40" s="18" cm="1">
        <f t="array" ref="H40">_xlfn.XLOOKUP(A40&amp;C40, Лист2!$A$2:$A$505&amp;Лист2!$B$2:$B$505, Лист2!$E$2:$E$505)</f>
        <v>5564</v>
      </c>
      <c r="I40" s="16">
        <f t="shared" si="1"/>
        <v>3146.2741935483873</v>
      </c>
    </row>
    <row r="41" spans="1:9" ht="14.25" customHeight="1" x14ac:dyDescent="0.3">
      <c r="A41" s="8">
        <v>43963</v>
      </c>
      <c r="B41">
        <f t="shared" si="0"/>
        <v>20</v>
      </c>
      <c r="C41" s="9" t="s">
        <v>11</v>
      </c>
      <c r="D41" s="9">
        <v>71520</v>
      </c>
      <c r="E41" s="9">
        <v>6398361</v>
      </c>
      <c r="F41" s="7" cm="1">
        <f t="array" ref="F41">_xlfn.XLOOKUP(A41&amp;C41, Лист2!$A$2:$A$505&amp;Лист2!$B$2:$B$505, Лист2!$C$2:$C$505)</f>
        <v>31</v>
      </c>
      <c r="G41" s="15" cm="1">
        <f t="array" ref="G41">_xlfn.XLOOKUP(A41&amp;C41, Лист2!$A$2:$A$505&amp;Лист2!$B$2:$B$505, Лист2!$D$2:$D$505)</f>
        <v>4800</v>
      </c>
      <c r="H41" s="18" cm="1">
        <f t="array" ref="H41">_xlfn.XLOOKUP(A41&amp;C41, Лист2!$A$2:$A$505&amp;Лист2!$B$2:$B$505, Лист2!$E$2:$E$505)</f>
        <v>4470</v>
      </c>
      <c r="I41" s="16">
        <f t="shared" si="1"/>
        <v>2307.0967741935483</v>
      </c>
    </row>
    <row r="42" spans="1:9" ht="14.25" customHeight="1" x14ac:dyDescent="0.3">
      <c r="A42" s="5">
        <v>43972</v>
      </c>
      <c r="B42">
        <f t="shared" si="0"/>
        <v>21</v>
      </c>
      <c r="C42" s="6" t="s">
        <v>11</v>
      </c>
      <c r="D42" s="6">
        <v>79485</v>
      </c>
      <c r="E42" s="6">
        <v>6633847.5</v>
      </c>
      <c r="F42" s="7" cm="1">
        <f t="array" ref="F42">_xlfn.XLOOKUP(A42&amp;C42, Лист2!$A$2:$A$505&amp;Лист2!$B$2:$B$505, Лист2!$C$2:$C$505)</f>
        <v>31</v>
      </c>
      <c r="G42" s="15" cm="1">
        <f t="array" ref="G42">_xlfn.XLOOKUP(A42&amp;C42, Лист2!$A$2:$A$505&amp;Лист2!$B$2:$B$505, Лист2!$D$2:$D$505)</f>
        <v>5207</v>
      </c>
      <c r="H42" s="18" cm="1">
        <f t="array" ref="H42">_xlfn.XLOOKUP(A42&amp;C42, Лист2!$A$2:$A$505&amp;Лист2!$B$2:$B$505, Лист2!$E$2:$E$505)</f>
        <v>4868</v>
      </c>
      <c r="I42" s="16">
        <f t="shared" si="1"/>
        <v>2564.0322580645161</v>
      </c>
    </row>
    <row r="43" spans="1:9" ht="14.25" customHeight="1" x14ac:dyDescent="0.3">
      <c r="A43" s="8">
        <v>43971</v>
      </c>
      <c r="B43">
        <f t="shared" si="0"/>
        <v>21</v>
      </c>
      <c r="C43" s="9" t="s">
        <v>11</v>
      </c>
      <c r="D43" s="9">
        <v>93313.5</v>
      </c>
      <c r="E43" s="9">
        <v>7247575.5</v>
      </c>
      <c r="F43" s="7" cm="1">
        <f t="array" ref="F43">_xlfn.XLOOKUP(A43&amp;C43, Лист2!$A$2:$A$505&amp;Лист2!$B$2:$B$505, Лист2!$C$2:$C$505)</f>
        <v>31</v>
      </c>
      <c r="G43" s="15" cm="1">
        <f t="array" ref="G43">_xlfn.XLOOKUP(A43&amp;C43, Лист2!$A$2:$A$505&amp;Лист2!$B$2:$B$505, Лист2!$D$2:$D$505)</f>
        <v>5698</v>
      </c>
      <c r="H43" s="18" cm="1">
        <f t="array" ref="H43">_xlfn.XLOOKUP(A43&amp;C43, Лист2!$A$2:$A$505&amp;Лист2!$B$2:$B$505, Лист2!$E$2:$E$505)</f>
        <v>5258</v>
      </c>
      <c r="I43" s="16">
        <f t="shared" si="1"/>
        <v>3010.1129032258063</v>
      </c>
    </row>
    <row r="44" spans="1:9" ht="14.25" customHeight="1" x14ac:dyDescent="0.3">
      <c r="A44" s="5">
        <v>43956</v>
      </c>
      <c r="B44">
        <f t="shared" si="0"/>
        <v>19</v>
      </c>
      <c r="C44" s="6" t="s">
        <v>11</v>
      </c>
      <c r="D44" s="6">
        <v>76585.5</v>
      </c>
      <c r="E44" s="6">
        <v>6921316.5</v>
      </c>
      <c r="F44" s="7" cm="1">
        <f t="array" ref="F44">_xlfn.XLOOKUP(A44&amp;C44, Лист2!$A$2:$A$505&amp;Лист2!$B$2:$B$505, Лист2!$C$2:$C$505)</f>
        <v>31</v>
      </c>
      <c r="G44" s="15" cm="1">
        <f t="array" ref="G44">_xlfn.XLOOKUP(A44&amp;C44, Лист2!$A$2:$A$505&amp;Лист2!$B$2:$B$505, Лист2!$D$2:$D$505)</f>
        <v>5188</v>
      </c>
      <c r="H44" s="18" cm="1">
        <f t="array" ref="H44">_xlfn.XLOOKUP(A44&amp;C44, Лист2!$A$2:$A$505&amp;Лист2!$B$2:$B$505, Лист2!$E$2:$E$505)</f>
        <v>4800</v>
      </c>
      <c r="I44" s="16">
        <f t="shared" si="1"/>
        <v>2470.5</v>
      </c>
    </row>
    <row r="45" spans="1:9" ht="14.25" customHeight="1" x14ac:dyDescent="0.3">
      <c r="A45" s="8">
        <v>43949</v>
      </c>
      <c r="B45">
        <f t="shared" si="0"/>
        <v>18</v>
      </c>
      <c r="C45" s="9" t="s">
        <v>11</v>
      </c>
      <c r="D45" s="9">
        <v>81826.5</v>
      </c>
      <c r="E45" s="9">
        <v>7163644.5</v>
      </c>
      <c r="F45" s="7" cm="1">
        <f t="array" ref="F45">_xlfn.XLOOKUP(A45&amp;C45, Лист2!$A$2:$A$505&amp;Лист2!$B$2:$B$505, Лист2!$C$2:$C$505)</f>
        <v>31</v>
      </c>
      <c r="G45" s="15" cm="1">
        <f t="array" ref="G45">_xlfn.XLOOKUP(A45&amp;C45, Лист2!$A$2:$A$505&amp;Лист2!$B$2:$B$505, Лист2!$D$2:$D$505)</f>
        <v>5465</v>
      </c>
      <c r="H45" s="18" cm="1">
        <f t="array" ref="H45">_xlfn.XLOOKUP(A45&amp;C45, Лист2!$A$2:$A$505&amp;Лист2!$B$2:$B$505, Лист2!$E$2:$E$505)</f>
        <v>5096</v>
      </c>
      <c r="I45" s="16">
        <f t="shared" si="1"/>
        <v>2639.5645161290322</v>
      </c>
    </row>
    <row r="46" spans="1:9" ht="14.25" customHeight="1" x14ac:dyDescent="0.3">
      <c r="A46" s="5">
        <v>43964</v>
      </c>
      <c r="B46">
        <f t="shared" si="0"/>
        <v>20</v>
      </c>
      <c r="C46" s="6" t="s">
        <v>11</v>
      </c>
      <c r="D46" s="6">
        <v>78846</v>
      </c>
      <c r="E46" s="6">
        <v>6993952.5</v>
      </c>
      <c r="F46" s="7" cm="1">
        <f t="array" ref="F46">_xlfn.XLOOKUP(A46&amp;C46, Лист2!$A$2:$A$505&amp;Лист2!$B$2:$B$505, Лист2!$C$2:$C$505)</f>
        <v>31</v>
      </c>
      <c r="G46" s="15" cm="1">
        <f t="array" ref="G46">_xlfn.XLOOKUP(A46&amp;C46, Лист2!$A$2:$A$505&amp;Лист2!$B$2:$B$505, Лист2!$D$2:$D$505)</f>
        <v>5251</v>
      </c>
      <c r="H46" s="18" cm="1">
        <f t="array" ref="H46">_xlfn.XLOOKUP(A46&amp;C46, Лист2!$A$2:$A$505&amp;Лист2!$B$2:$B$505, Лист2!$E$2:$E$505)</f>
        <v>4853</v>
      </c>
      <c r="I46" s="16">
        <f t="shared" si="1"/>
        <v>2543.4193548387098</v>
      </c>
    </row>
    <row r="47" spans="1:9" ht="14.25" customHeight="1" x14ac:dyDescent="0.3">
      <c r="A47" s="8">
        <v>43954</v>
      </c>
      <c r="B47">
        <f t="shared" si="0"/>
        <v>18</v>
      </c>
      <c r="C47" s="9" t="s">
        <v>11</v>
      </c>
      <c r="D47" s="9">
        <v>77263.5</v>
      </c>
      <c r="E47" s="9">
        <v>7013670</v>
      </c>
      <c r="F47" s="7" cm="1">
        <f t="array" ref="F47">_xlfn.XLOOKUP(A47&amp;C47, Лист2!$A$2:$A$505&amp;Лист2!$B$2:$B$505, Лист2!$C$2:$C$505)</f>
        <v>31</v>
      </c>
      <c r="G47" s="15" cm="1">
        <f t="array" ref="G47">_xlfn.XLOOKUP(A47&amp;C47, Лист2!$A$2:$A$505&amp;Лист2!$B$2:$B$505, Лист2!$D$2:$D$505)</f>
        <v>5155</v>
      </c>
      <c r="H47" s="18" cm="1">
        <f t="array" ref="H47">_xlfn.XLOOKUP(A47&amp;C47, Лист2!$A$2:$A$505&amp;Лист2!$B$2:$B$505, Лист2!$E$2:$E$505)</f>
        <v>4762</v>
      </c>
      <c r="I47" s="16">
        <f t="shared" si="1"/>
        <v>2492.3709677419356</v>
      </c>
    </row>
    <row r="48" spans="1:9" ht="14.25" customHeight="1" x14ac:dyDescent="0.3">
      <c r="A48" s="5">
        <v>43957</v>
      </c>
      <c r="B48">
        <f t="shared" si="0"/>
        <v>19</v>
      </c>
      <c r="C48" s="6" t="s">
        <v>11</v>
      </c>
      <c r="D48" s="6">
        <v>68994</v>
      </c>
      <c r="E48" s="6">
        <v>6168657</v>
      </c>
      <c r="F48" s="7" cm="1">
        <f t="array" ref="F48">_xlfn.XLOOKUP(A48&amp;C48, Лист2!$A$2:$A$505&amp;Лист2!$B$2:$B$505, Лист2!$C$2:$C$505)</f>
        <v>31</v>
      </c>
      <c r="G48" s="15" cm="1">
        <f t="array" ref="G48">_xlfn.XLOOKUP(A48&amp;C48, Лист2!$A$2:$A$505&amp;Лист2!$B$2:$B$505, Лист2!$D$2:$D$505)</f>
        <v>4709</v>
      </c>
      <c r="H48" s="18" cm="1">
        <f t="array" ref="H48">_xlfn.XLOOKUP(A48&amp;C48, Лист2!$A$2:$A$505&amp;Лист2!$B$2:$B$505, Лист2!$E$2:$E$505)</f>
        <v>4348</v>
      </c>
      <c r="I48" s="16">
        <f t="shared" si="1"/>
        <v>2225.6129032258063</v>
      </c>
    </row>
    <row r="49" spans="1:9" ht="14.25" customHeight="1" x14ac:dyDescent="0.3">
      <c r="A49" s="8">
        <v>43974</v>
      </c>
      <c r="B49">
        <f t="shared" si="0"/>
        <v>21</v>
      </c>
      <c r="C49" s="9" t="s">
        <v>11</v>
      </c>
      <c r="D49" s="9">
        <v>102889.5</v>
      </c>
      <c r="E49" s="9">
        <v>8089143</v>
      </c>
      <c r="F49" s="7" cm="1">
        <f t="array" ref="F49">_xlfn.XLOOKUP(A49&amp;C49, Лист2!$A$2:$A$505&amp;Лист2!$B$2:$B$505, Лист2!$C$2:$C$505)</f>
        <v>31</v>
      </c>
      <c r="G49" s="15" cm="1">
        <f t="array" ref="G49">_xlfn.XLOOKUP(A49&amp;C49, Лист2!$A$2:$A$505&amp;Лист2!$B$2:$B$505, Лист2!$D$2:$D$505)</f>
        <v>6276</v>
      </c>
      <c r="H49" s="18" cm="1">
        <f t="array" ref="H49">_xlfn.XLOOKUP(A49&amp;C49, Лист2!$A$2:$A$505&amp;Лист2!$B$2:$B$505, Лист2!$E$2:$E$505)</f>
        <v>5801</v>
      </c>
      <c r="I49" s="16">
        <f t="shared" si="1"/>
        <v>3319.016129032258</v>
      </c>
    </row>
    <row r="50" spans="1:9" ht="14.25" customHeight="1" x14ac:dyDescent="0.3">
      <c r="A50" s="5">
        <v>43976</v>
      </c>
      <c r="B50">
        <f t="shared" si="0"/>
        <v>22</v>
      </c>
      <c r="C50" s="6" t="s">
        <v>11</v>
      </c>
      <c r="D50" s="6">
        <v>76999.5</v>
      </c>
      <c r="E50" s="6">
        <v>6645603</v>
      </c>
      <c r="F50" s="7" cm="1">
        <f t="array" ref="F50">_xlfn.XLOOKUP(A50&amp;C50, Лист2!$A$2:$A$505&amp;Лист2!$B$2:$B$505, Лист2!$C$2:$C$505)</f>
        <v>31</v>
      </c>
      <c r="G50" s="15" cm="1">
        <f t="array" ref="G50">_xlfn.XLOOKUP(A50&amp;C50, Лист2!$A$2:$A$505&amp;Лист2!$B$2:$B$505, Лист2!$D$2:$D$505)</f>
        <v>5210</v>
      </c>
      <c r="H50" s="18" cm="1">
        <f t="array" ref="H50">_xlfn.XLOOKUP(A50&amp;C50, Лист2!$A$2:$A$505&amp;Лист2!$B$2:$B$505, Лист2!$E$2:$E$505)</f>
        <v>4841</v>
      </c>
      <c r="I50" s="16">
        <f t="shared" si="1"/>
        <v>2483.8548387096776</v>
      </c>
    </row>
    <row r="51" spans="1:9" ht="14.25" customHeight="1" x14ac:dyDescent="0.3">
      <c r="A51" s="8">
        <v>43951</v>
      </c>
      <c r="B51">
        <f t="shared" si="0"/>
        <v>18</v>
      </c>
      <c r="C51" s="9" t="s">
        <v>11</v>
      </c>
      <c r="D51" s="9">
        <v>77565</v>
      </c>
      <c r="E51" s="9">
        <v>7023727.5</v>
      </c>
      <c r="F51" s="7" cm="1">
        <f t="array" ref="F51">_xlfn.XLOOKUP(A51&amp;C51, Лист2!$A$2:$A$505&amp;Лист2!$B$2:$B$505, Лист2!$C$2:$C$505)</f>
        <v>31</v>
      </c>
      <c r="G51" s="15" cm="1">
        <f t="array" ref="G51">_xlfn.XLOOKUP(A51&amp;C51, Лист2!$A$2:$A$505&amp;Лист2!$B$2:$B$505, Лист2!$D$2:$D$505)</f>
        <v>5120</v>
      </c>
      <c r="H51" s="18" cm="1">
        <f t="array" ref="H51">_xlfn.XLOOKUP(A51&amp;C51, Лист2!$A$2:$A$505&amp;Лист2!$B$2:$B$505, Лист2!$E$2:$E$505)</f>
        <v>4737</v>
      </c>
      <c r="I51" s="16">
        <f t="shared" si="1"/>
        <v>2502.0967741935483</v>
      </c>
    </row>
    <row r="52" spans="1:9" ht="14.25" customHeight="1" x14ac:dyDescent="0.3">
      <c r="A52" s="5">
        <v>43961</v>
      </c>
      <c r="B52">
        <f t="shared" si="0"/>
        <v>19</v>
      </c>
      <c r="C52" s="6" t="s">
        <v>11</v>
      </c>
      <c r="D52" s="6">
        <v>84132</v>
      </c>
      <c r="E52" s="6">
        <v>7483194</v>
      </c>
      <c r="F52" s="7" cm="1">
        <f t="array" ref="F52">_xlfn.XLOOKUP(A52&amp;C52, Лист2!$A$2:$A$505&amp;Лист2!$B$2:$B$505, Лист2!$C$2:$C$505)</f>
        <v>31</v>
      </c>
      <c r="G52" s="15" cm="1">
        <f t="array" ref="G52">_xlfn.XLOOKUP(A52&amp;C52, Лист2!$A$2:$A$505&amp;Лист2!$B$2:$B$505, Лист2!$D$2:$D$505)</f>
        <v>5495</v>
      </c>
      <c r="H52" s="18" cm="1">
        <f t="array" ref="H52">_xlfn.XLOOKUP(A52&amp;C52, Лист2!$A$2:$A$505&amp;Лист2!$B$2:$B$505, Лист2!$E$2:$E$505)</f>
        <v>5093</v>
      </c>
      <c r="I52" s="16">
        <f t="shared" si="1"/>
        <v>2713.9354838709678</v>
      </c>
    </row>
    <row r="53" spans="1:9" ht="14.25" customHeight="1" x14ac:dyDescent="0.3">
      <c r="A53" s="8">
        <v>43959</v>
      </c>
      <c r="B53">
        <f t="shared" si="0"/>
        <v>19</v>
      </c>
      <c r="C53" s="9" t="s">
        <v>11</v>
      </c>
      <c r="D53" s="9">
        <v>69544.5</v>
      </c>
      <c r="E53" s="9">
        <v>6293776.5</v>
      </c>
      <c r="F53" s="7" cm="1">
        <f t="array" ref="F53">_xlfn.XLOOKUP(A53&amp;C53, Лист2!$A$2:$A$505&amp;Лист2!$B$2:$B$505, Лист2!$C$2:$C$505)</f>
        <v>31</v>
      </c>
      <c r="G53" s="15" cm="1">
        <f t="array" ref="G53">_xlfn.XLOOKUP(A53&amp;C53, Лист2!$A$2:$A$505&amp;Лист2!$B$2:$B$505, Лист2!$D$2:$D$505)</f>
        <v>4635</v>
      </c>
      <c r="H53" s="18" cm="1">
        <f t="array" ref="H53">_xlfn.XLOOKUP(A53&amp;C53, Лист2!$A$2:$A$505&amp;Лист2!$B$2:$B$505, Лист2!$E$2:$E$505)</f>
        <v>4266</v>
      </c>
      <c r="I53" s="16">
        <f t="shared" si="1"/>
        <v>2243.3709677419356</v>
      </c>
    </row>
    <row r="54" spans="1:9" ht="14.25" customHeight="1" x14ac:dyDescent="0.3">
      <c r="A54" s="5">
        <v>43958</v>
      </c>
      <c r="B54">
        <f t="shared" si="0"/>
        <v>19</v>
      </c>
      <c r="C54" s="6" t="s">
        <v>11</v>
      </c>
      <c r="D54" s="6">
        <v>73204.5</v>
      </c>
      <c r="E54" s="6">
        <v>6591883.5</v>
      </c>
      <c r="F54" s="7" cm="1">
        <f t="array" ref="F54">_xlfn.XLOOKUP(A54&amp;C54, Лист2!$A$2:$A$505&amp;Лист2!$B$2:$B$505, Лист2!$C$2:$C$505)</f>
        <v>31</v>
      </c>
      <c r="G54" s="15" cm="1">
        <f t="array" ref="G54">_xlfn.XLOOKUP(A54&amp;C54, Лист2!$A$2:$A$505&amp;Лист2!$B$2:$B$505, Лист2!$D$2:$D$505)</f>
        <v>4903</v>
      </c>
      <c r="H54" s="18" cm="1">
        <f t="array" ref="H54">_xlfn.XLOOKUP(A54&amp;C54, Лист2!$A$2:$A$505&amp;Лист2!$B$2:$B$505, Лист2!$E$2:$E$505)</f>
        <v>4527</v>
      </c>
      <c r="I54" s="16">
        <f t="shared" si="1"/>
        <v>2361.4354838709678</v>
      </c>
    </row>
    <row r="55" spans="1:9" ht="14.25" customHeight="1" x14ac:dyDescent="0.3">
      <c r="A55" s="8">
        <v>43975</v>
      </c>
      <c r="B55">
        <f t="shared" si="0"/>
        <v>21</v>
      </c>
      <c r="C55" s="9" t="s">
        <v>11</v>
      </c>
      <c r="D55" s="9">
        <v>76663.5</v>
      </c>
      <c r="E55" s="9">
        <v>6451032</v>
      </c>
      <c r="F55" s="7" cm="1">
        <f t="array" ref="F55">_xlfn.XLOOKUP(A55&amp;C55, Лист2!$A$2:$A$505&amp;Лист2!$B$2:$B$505, Лист2!$C$2:$C$505)</f>
        <v>31</v>
      </c>
      <c r="G55" s="15" cm="1">
        <f t="array" ref="G55">_xlfn.XLOOKUP(A55&amp;C55, Лист2!$A$2:$A$505&amp;Лист2!$B$2:$B$505, Лист2!$D$2:$D$505)</f>
        <v>5035</v>
      </c>
      <c r="H55" s="18" cm="1">
        <f t="array" ref="H55">_xlfn.XLOOKUP(A55&amp;C55, Лист2!$A$2:$A$505&amp;Лист2!$B$2:$B$505, Лист2!$E$2:$E$505)</f>
        <v>4683</v>
      </c>
      <c r="I55" s="16">
        <f t="shared" si="1"/>
        <v>2473.016129032258</v>
      </c>
    </row>
    <row r="56" spans="1:9" ht="14.25" customHeight="1" x14ac:dyDescent="0.3">
      <c r="A56" s="5">
        <v>43967</v>
      </c>
      <c r="B56">
        <f t="shared" si="0"/>
        <v>20</v>
      </c>
      <c r="C56" s="6" t="s">
        <v>12</v>
      </c>
      <c r="D56" s="6">
        <v>14265</v>
      </c>
      <c r="E56" s="6">
        <v>1130506.5</v>
      </c>
      <c r="F56" s="7" cm="1">
        <f t="array" ref="F56">_xlfn.XLOOKUP(A56&amp;C56, Лист2!$A$2:$A$505&amp;Лист2!$B$2:$B$505, Лист2!$C$2:$C$505)</f>
        <v>10</v>
      </c>
      <c r="G56" s="15" cm="1">
        <f t="array" ref="G56">_xlfn.XLOOKUP(A56&amp;C56, Лист2!$A$2:$A$505&amp;Лист2!$B$2:$B$505, Лист2!$D$2:$D$505)</f>
        <v>760</v>
      </c>
      <c r="H56" s="18" cm="1">
        <f t="array" ref="H56">_xlfn.XLOOKUP(A56&amp;C56, Лист2!$A$2:$A$505&amp;Лист2!$B$2:$B$505, Лист2!$E$2:$E$505)</f>
        <v>672</v>
      </c>
      <c r="I56" s="16">
        <f t="shared" si="1"/>
        <v>1426.5</v>
      </c>
    </row>
    <row r="57" spans="1:9" ht="14.25" customHeight="1" x14ac:dyDescent="0.3">
      <c r="A57" s="8">
        <v>43970</v>
      </c>
      <c r="B57">
        <f t="shared" si="0"/>
        <v>21</v>
      </c>
      <c r="C57" s="9" t="s">
        <v>12</v>
      </c>
      <c r="D57" s="9">
        <v>11526</v>
      </c>
      <c r="E57" s="9">
        <v>938764.5</v>
      </c>
      <c r="F57" s="7" cm="1">
        <f t="array" ref="F57">_xlfn.XLOOKUP(A57&amp;C57, Лист2!$A$2:$A$505&amp;Лист2!$B$2:$B$505, Лист2!$C$2:$C$505)</f>
        <v>10</v>
      </c>
      <c r="G57" s="15" cm="1">
        <f t="array" ref="G57">_xlfn.XLOOKUP(A57&amp;C57, Лист2!$A$2:$A$505&amp;Лист2!$B$2:$B$505, Лист2!$D$2:$D$505)</f>
        <v>649</v>
      </c>
      <c r="H57" s="18" cm="1">
        <f t="array" ref="H57">_xlfn.XLOOKUP(A57&amp;C57, Лист2!$A$2:$A$505&amp;Лист2!$B$2:$B$505, Лист2!$E$2:$E$505)</f>
        <v>568</v>
      </c>
      <c r="I57" s="16">
        <f t="shared" si="1"/>
        <v>1152.5999999999999</v>
      </c>
    </row>
    <row r="58" spans="1:9" ht="14.25" customHeight="1" x14ac:dyDescent="0.3">
      <c r="A58" s="5">
        <v>43968</v>
      </c>
      <c r="B58">
        <f t="shared" si="0"/>
        <v>20</v>
      </c>
      <c r="C58" s="6" t="s">
        <v>12</v>
      </c>
      <c r="D58" s="6">
        <v>10402.5</v>
      </c>
      <c r="E58" s="6">
        <v>843727.5</v>
      </c>
      <c r="F58" s="7" cm="1">
        <f t="array" ref="F58">_xlfn.XLOOKUP(A58&amp;C58, Лист2!$A$2:$A$505&amp;Лист2!$B$2:$B$505, Лист2!$C$2:$C$505)</f>
        <v>10</v>
      </c>
      <c r="G58" s="15" cm="1">
        <f t="array" ref="G58">_xlfn.XLOOKUP(A58&amp;C58, Лист2!$A$2:$A$505&amp;Лист2!$B$2:$B$505, Лист2!$D$2:$D$505)</f>
        <v>591</v>
      </c>
      <c r="H58" s="18" cm="1">
        <f t="array" ref="H58">_xlfn.XLOOKUP(A58&amp;C58, Лист2!$A$2:$A$505&amp;Лист2!$B$2:$B$505, Лист2!$E$2:$E$505)</f>
        <v>513</v>
      </c>
      <c r="I58" s="16">
        <f t="shared" si="1"/>
        <v>1040.25</v>
      </c>
    </row>
    <row r="59" spans="1:9" ht="14.25" customHeight="1" x14ac:dyDescent="0.3">
      <c r="A59" s="8">
        <v>43960</v>
      </c>
      <c r="B59">
        <f t="shared" si="0"/>
        <v>19</v>
      </c>
      <c r="C59" s="9" t="s">
        <v>12</v>
      </c>
      <c r="D59" s="9">
        <v>13216.5</v>
      </c>
      <c r="E59" s="9">
        <v>1046400</v>
      </c>
      <c r="F59" s="7" cm="1">
        <f t="array" ref="F59">_xlfn.XLOOKUP(A59&amp;C59, Лист2!$A$2:$A$505&amp;Лист2!$B$2:$B$505, Лист2!$C$2:$C$505)</f>
        <v>10</v>
      </c>
      <c r="G59" s="15" cm="1">
        <f t="array" ref="G59">_xlfn.XLOOKUP(A59&amp;C59, Лист2!$A$2:$A$505&amp;Лист2!$B$2:$B$505, Лист2!$D$2:$D$505)</f>
        <v>644</v>
      </c>
      <c r="H59" s="18" cm="1">
        <f t="array" ref="H59">_xlfn.XLOOKUP(A59&amp;C59, Лист2!$A$2:$A$505&amp;Лист2!$B$2:$B$505, Лист2!$E$2:$E$505)</f>
        <v>559</v>
      </c>
      <c r="I59" s="16">
        <f t="shared" si="1"/>
        <v>1321.65</v>
      </c>
    </row>
    <row r="60" spans="1:9" ht="14.25" customHeight="1" x14ac:dyDescent="0.3">
      <c r="A60" s="5">
        <v>43955</v>
      </c>
      <c r="B60">
        <f t="shared" si="0"/>
        <v>19</v>
      </c>
      <c r="C60" s="6" t="s">
        <v>12</v>
      </c>
      <c r="D60" s="6">
        <v>9130.5</v>
      </c>
      <c r="E60" s="6">
        <v>728890.5</v>
      </c>
      <c r="F60" s="7" cm="1">
        <f t="array" ref="F60">_xlfn.XLOOKUP(A60&amp;C60, Лист2!$A$2:$A$505&amp;Лист2!$B$2:$B$505, Лист2!$C$2:$C$505)</f>
        <v>10</v>
      </c>
      <c r="G60" s="15" cm="1">
        <f t="array" ref="G60">_xlfn.XLOOKUP(A60&amp;C60, Лист2!$A$2:$A$505&amp;Лист2!$B$2:$B$505, Лист2!$D$2:$D$505)</f>
        <v>462</v>
      </c>
      <c r="H60" s="18" cm="1">
        <f t="array" ref="H60">_xlfn.XLOOKUP(A60&amp;C60, Лист2!$A$2:$A$505&amp;Лист2!$B$2:$B$505, Лист2!$E$2:$E$505)</f>
        <v>396</v>
      </c>
      <c r="I60" s="16">
        <f t="shared" si="1"/>
        <v>913.05</v>
      </c>
    </row>
    <row r="61" spans="1:9" ht="14.25" customHeight="1" x14ac:dyDescent="0.3">
      <c r="A61" s="8">
        <v>43950</v>
      </c>
      <c r="B61">
        <f t="shared" si="0"/>
        <v>18</v>
      </c>
      <c r="C61" s="9" t="s">
        <v>12</v>
      </c>
      <c r="D61" s="9">
        <v>10840.5</v>
      </c>
      <c r="E61" s="9">
        <v>797919</v>
      </c>
      <c r="F61" s="7" cm="1">
        <f t="array" ref="F61">_xlfn.XLOOKUP(A61&amp;C61, Лист2!$A$2:$A$505&amp;Лист2!$B$2:$B$505, Лист2!$C$2:$C$505)</f>
        <v>10</v>
      </c>
      <c r="G61" s="15" cm="1">
        <f t="array" ref="G61">_xlfn.XLOOKUP(A61&amp;C61, Лист2!$A$2:$A$505&amp;Лист2!$B$2:$B$505, Лист2!$D$2:$D$505)</f>
        <v>502</v>
      </c>
      <c r="H61" s="18" cm="1">
        <f t="array" ref="H61">_xlfn.XLOOKUP(A61&amp;C61, Лист2!$A$2:$A$505&amp;Лист2!$B$2:$B$505, Лист2!$E$2:$E$505)</f>
        <v>433</v>
      </c>
      <c r="I61" s="16">
        <f t="shared" si="1"/>
        <v>1084.05</v>
      </c>
    </row>
    <row r="62" spans="1:9" ht="14.25" customHeight="1" x14ac:dyDescent="0.3">
      <c r="A62" s="5">
        <v>43953</v>
      </c>
      <c r="B62">
        <f t="shared" si="0"/>
        <v>18</v>
      </c>
      <c r="C62" s="6" t="s">
        <v>12</v>
      </c>
      <c r="D62" s="6">
        <v>7866</v>
      </c>
      <c r="E62" s="6">
        <v>617881.5</v>
      </c>
      <c r="F62" s="7" cm="1">
        <f t="array" ref="F62">_xlfn.XLOOKUP(A62&amp;C62, Лист2!$A$2:$A$505&amp;Лист2!$B$2:$B$505, Лист2!$C$2:$C$505)</f>
        <v>10</v>
      </c>
      <c r="G62" s="15" cm="1">
        <f t="array" ref="G62">_xlfn.XLOOKUP(A62&amp;C62, Лист2!$A$2:$A$505&amp;Лист2!$B$2:$B$505, Лист2!$D$2:$D$505)</f>
        <v>416</v>
      </c>
      <c r="H62" s="18" cm="1">
        <f t="array" ref="H62">_xlfn.XLOOKUP(A62&amp;C62, Лист2!$A$2:$A$505&amp;Лист2!$B$2:$B$505, Лист2!$E$2:$E$505)</f>
        <v>341</v>
      </c>
      <c r="I62" s="16">
        <f t="shared" si="1"/>
        <v>786.6</v>
      </c>
    </row>
    <row r="63" spans="1:9" ht="14.25" customHeight="1" x14ac:dyDescent="0.3">
      <c r="A63" s="8">
        <v>43977</v>
      </c>
      <c r="B63">
        <f t="shared" si="0"/>
        <v>22</v>
      </c>
      <c r="C63" s="9" t="s">
        <v>12</v>
      </c>
      <c r="D63" s="9">
        <v>11835</v>
      </c>
      <c r="E63" s="9">
        <v>983109</v>
      </c>
      <c r="F63" s="7" cm="1">
        <f t="array" ref="F63">_xlfn.XLOOKUP(A63&amp;C63, Лист2!$A$2:$A$505&amp;Лист2!$B$2:$B$505, Лист2!$C$2:$C$505)</f>
        <v>10</v>
      </c>
      <c r="G63" s="15" cm="1">
        <f t="array" ref="G63">_xlfn.XLOOKUP(A63&amp;C63, Лист2!$A$2:$A$505&amp;Лист2!$B$2:$B$505, Лист2!$D$2:$D$505)</f>
        <v>692</v>
      </c>
      <c r="H63" s="18" cm="1">
        <f t="array" ref="H63">_xlfn.XLOOKUP(A63&amp;C63, Лист2!$A$2:$A$505&amp;Лист2!$B$2:$B$505, Лист2!$E$2:$E$505)</f>
        <v>601</v>
      </c>
      <c r="I63" s="16">
        <f t="shared" si="1"/>
        <v>1183.5</v>
      </c>
    </row>
    <row r="64" spans="1:9" ht="14.25" customHeight="1" x14ac:dyDescent="0.3">
      <c r="A64" s="5">
        <v>43952</v>
      </c>
      <c r="B64">
        <f t="shared" si="0"/>
        <v>18</v>
      </c>
      <c r="C64" s="6" t="s">
        <v>12</v>
      </c>
      <c r="D64" s="6">
        <v>11619</v>
      </c>
      <c r="E64" s="6">
        <v>891139.5</v>
      </c>
      <c r="F64" s="7" cm="1">
        <f t="array" ref="F64">_xlfn.XLOOKUP(A64&amp;C64, Лист2!$A$2:$A$505&amp;Лист2!$B$2:$B$505, Лист2!$C$2:$C$505)</f>
        <v>10</v>
      </c>
      <c r="G64" s="15" cm="1">
        <f t="array" ref="G64">_xlfn.XLOOKUP(A64&amp;C64, Лист2!$A$2:$A$505&amp;Лист2!$B$2:$B$505, Лист2!$D$2:$D$505)</f>
        <v>554</v>
      </c>
      <c r="H64" s="18" cm="1">
        <f t="array" ref="H64">_xlfn.XLOOKUP(A64&amp;C64, Лист2!$A$2:$A$505&amp;Лист2!$B$2:$B$505, Лист2!$E$2:$E$505)</f>
        <v>472</v>
      </c>
      <c r="I64" s="16">
        <f t="shared" si="1"/>
        <v>1161.9000000000001</v>
      </c>
    </row>
    <row r="65" spans="1:9" ht="14.25" customHeight="1" x14ac:dyDescent="0.3">
      <c r="A65" s="8">
        <v>43963</v>
      </c>
      <c r="B65">
        <f t="shared" si="0"/>
        <v>20</v>
      </c>
      <c r="C65" s="9" t="s">
        <v>12</v>
      </c>
      <c r="D65" s="9">
        <v>9328.5</v>
      </c>
      <c r="E65" s="9">
        <v>732964.5</v>
      </c>
      <c r="F65" s="7" cm="1">
        <f t="array" ref="F65">_xlfn.XLOOKUP(A65&amp;C65, Лист2!$A$2:$A$505&amp;Лист2!$B$2:$B$505, Лист2!$C$2:$C$505)</f>
        <v>10</v>
      </c>
      <c r="G65" s="15" cm="1">
        <f t="array" ref="G65">_xlfn.XLOOKUP(A65&amp;C65, Лист2!$A$2:$A$505&amp;Лист2!$B$2:$B$505, Лист2!$D$2:$D$505)</f>
        <v>526</v>
      </c>
      <c r="H65" s="18" cm="1">
        <f t="array" ref="H65">_xlfn.XLOOKUP(A65&amp;C65, Лист2!$A$2:$A$505&amp;Лист2!$B$2:$B$505, Лист2!$E$2:$E$505)</f>
        <v>448</v>
      </c>
      <c r="I65" s="16">
        <f t="shared" si="1"/>
        <v>932.85</v>
      </c>
    </row>
    <row r="66" spans="1:9" ht="14.25" customHeight="1" x14ac:dyDescent="0.3">
      <c r="A66" s="5">
        <v>43972</v>
      </c>
      <c r="B66">
        <f t="shared" si="0"/>
        <v>21</v>
      </c>
      <c r="C66" s="6" t="s">
        <v>12</v>
      </c>
      <c r="D66" s="6">
        <v>11250</v>
      </c>
      <c r="E66" s="6">
        <v>935523</v>
      </c>
      <c r="F66" s="7" cm="1">
        <f t="array" ref="F66">_xlfn.XLOOKUP(A66&amp;C66, Лист2!$A$2:$A$505&amp;Лист2!$B$2:$B$505, Лист2!$C$2:$C$505)</f>
        <v>10</v>
      </c>
      <c r="G66" s="15" cm="1">
        <f t="array" ref="G66">_xlfn.XLOOKUP(A66&amp;C66, Лист2!$A$2:$A$505&amp;Лист2!$B$2:$B$505, Лист2!$D$2:$D$505)</f>
        <v>677</v>
      </c>
      <c r="H66" s="18" cm="1">
        <f t="array" ref="H66">_xlfn.XLOOKUP(A66&amp;C66, Лист2!$A$2:$A$505&amp;Лист2!$B$2:$B$505, Лист2!$E$2:$E$505)</f>
        <v>591</v>
      </c>
      <c r="I66" s="16">
        <f t="shared" si="1"/>
        <v>1125</v>
      </c>
    </row>
    <row r="67" spans="1:9" ht="14.25" customHeight="1" x14ac:dyDescent="0.3">
      <c r="A67" s="8">
        <v>43971</v>
      </c>
      <c r="B67">
        <f t="shared" ref="B67:B130" si="2">WEEKNUM(A67, 2)</f>
        <v>21</v>
      </c>
      <c r="C67" s="9" t="s">
        <v>12</v>
      </c>
      <c r="D67" s="9">
        <v>13063.5</v>
      </c>
      <c r="E67" s="9">
        <v>1037247</v>
      </c>
      <c r="F67" s="7" cm="1">
        <f t="array" ref="F67">_xlfn.XLOOKUP(A67&amp;C67, Лист2!$A$2:$A$505&amp;Лист2!$B$2:$B$505, Лист2!$C$2:$C$505)</f>
        <v>10</v>
      </c>
      <c r="G67" s="15" cm="1">
        <f t="array" ref="G67">_xlfn.XLOOKUP(A67&amp;C67, Лист2!$A$2:$A$505&amp;Лист2!$B$2:$B$505, Лист2!$D$2:$D$505)</f>
        <v>745</v>
      </c>
      <c r="H67" s="18" cm="1">
        <f t="array" ref="H67">_xlfn.XLOOKUP(A67&amp;C67, Лист2!$A$2:$A$505&amp;Лист2!$B$2:$B$505, Лист2!$E$2:$E$505)</f>
        <v>654</v>
      </c>
      <c r="I67" s="16">
        <f t="shared" ref="I67:I130" si="3">D67/F67</f>
        <v>1306.3499999999999</v>
      </c>
    </row>
    <row r="68" spans="1:9" ht="14.25" customHeight="1" x14ac:dyDescent="0.3">
      <c r="A68" s="5">
        <v>43956</v>
      </c>
      <c r="B68">
        <f t="shared" si="2"/>
        <v>19</v>
      </c>
      <c r="C68" s="6" t="s">
        <v>12</v>
      </c>
      <c r="D68" s="6">
        <v>10147.5</v>
      </c>
      <c r="E68" s="6">
        <v>793320</v>
      </c>
      <c r="F68" s="7" cm="1">
        <f t="array" ref="F68">_xlfn.XLOOKUP(A68&amp;C68, Лист2!$A$2:$A$505&amp;Лист2!$B$2:$B$505, Лист2!$C$2:$C$505)</f>
        <v>10</v>
      </c>
      <c r="G68" s="15" cm="1">
        <f t="array" ref="G68">_xlfn.XLOOKUP(A68&amp;C68, Лист2!$A$2:$A$505&amp;Лист2!$B$2:$B$505, Лист2!$D$2:$D$505)</f>
        <v>511</v>
      </c>
      <c r="H68" s="18" cm="1">
        <f t="array" ref="H68">_xlfn.XLOOKUP(A68&amp;C68, Лист2!$A$2:$A$505&amp;Лист2!$B$2:$B$505, Лист2!$E$2:$E$505)</f>
        <v>437</v>
      </c>
      <c r="I68" s="16">
        <f t="shared" si="3"/>
        <v>1014.75</v>
      </c>
    </row>
    <row r="69" spans="1:9" ht="14.25" customHeight="1" x14ac:dyDescent="0.3">
      <c r="A69" s="8">
        <v>43949</v>
      </c>
      <c r="B69">
        <f t="shared" si="2"/>
        <v>18</v>
      </c>
      <c r="C69" s="9" t="s">
        <v>12</v>
      </c>
      <c r="D69" s="9">
        <v>12331.5</v>
      </c>
      <c r="E69" s="9">
        <v>869983.5</v>
      </c>
      <c r="F69" s="7" cm="1">
        <f t="array" ref="F69">_xlfn.XLOOKUP(A69&amp;C69, Лист2!$A$2:$A$505&amp;Лист2!$B$2:$B$505, Лист2!$C$2:$C$505)</f>
        <v>10</v>
      </c>
      <c r="G69" s="15" cm="1">
        <f t="array" ref="G69">_xlfn.XLOOKUP(A69&amp;C69, Лист2!$A$2:$A$505&amp;Лист2!$B$2:$B$505, Лист2!$D$2:$D$505)</f>
        <v>580</v>
      </c>
      <c r="H69" s="18" cm="1">
        <f t="array" ref="H69">_xlfn.XLOOKUP(A69&amp;C69, Лист2!$A$2:$A$505&amp;Лист2!$B$2:$B$505, Лист2!$E$2:$E$505)</f>
        <v>506</v>
      </c>
      <c r="I69" s="16">
        <f t="shared" si="3"/>
        <v>1233.1500000000001</v>
      </c>
    </row>
    <row r="70" spans="1:9" ht="14.25" customHeight="1" x14ac:dyDescent="0.3">
      <c r="A70" s="5">
        <v>43964</v>
      </c>
      <c r="B70">
        <f t="shared" si="2"/>
        <v>20</v>
      </c>
      <c r="C70" s="6" t="s">
        <v>12</v>
      </c>
      <c r="D70" s="6">
        <v>11202</v>
      </c>
      <c r="E70" s="6">
        <v>865714.5</v>
      </c>
      <c r="F70" s="7" cm="1">
        <f t="array" ref="F70">_xlfn.XLOOKUP(A70&amp;C70, Лист2!$A$2:$A$505&amp;Лист2!$B$2:$B$505, Лист2!$C$2:$C$505)</f>
        <v>10</v>
      </c>
      <c r="G70" s="15" cm="1">
        <f t="array" ref="G70">_xlfn.XLOOKUP(A70&amp;C70, Лист2!$A$2:$A$505&amp;Лист2!$B$2:$B$505, Лист2!$D$2:$D$505)</f>
        <v>612</v>
      </c>
      <c r="H70" s="18" cm="1">
        <f t="array" ref="H70">_xlfn.XLOOKUP(A70&amp;C70, Лист2!$A$2:$A$505&amp;Лист2!$B$2:$B$505, Лист2!$E$2:$E$505)</f>
        <v>530</v>
      </c>
      <c r="I70" s="16">
        <f t="shared" si="3"/>
        <v>1120.2</v>
      </c>
    </row>
    <row r="71" spans="1:9" ht="14.25" customHeight="1" x14ac:dyDescent="0.3">
      <c r="A71" s="8">
        <v>43982</v>
      </c>
      <c r="B71">
        <f t="shared" si="2"/>
        <v>22</v>
      </c>
      <c r="C71" s="9" t="s">
        <v>11</v>
      </c>
      <c r="D71" s="9">
        <v>89149.5</v>
      </c>
      <c r="E71" s="9">
        <v>7512646.5</v>
      </c>
      <c r="F71" s="7" cm="1">
        <f t="array" ref="F71">_xlfn.XLOOKUP(A71&amp;C71, Лист2!$A$2:$A$505&amp;Лист2!$B$2:$B$505, Лист2!$C$2:$C$505)</f>
        <v>31</v>
      </c>
      <c r="G71" s="15" cm="1">
        <f t="array" ref="G71">_xlfn.XLOOKUP(A71&amp;C71, Лист2!$A$2:$A$505&amp;Лист2!$B$2:$B$505, Лист2!$D$2:$D$505)</f>
        <v>5760</v>
      </c>
      <c r="H71" s="18" cm="1">
        <f t="array" ref="H71">_xlfn.XLOOKUP(A71&amp;C71, Лист2!$A$2:$A$505&amp;Лист2!$B$2:$B$505, Лист2!$E$2:$E$505)</f>
        <v>5367</v>
      </c>
      <c r="I71" s="16">
        <f t="shared" si="3"/>
        <v>2875.7903225806454</v>
      </c>
    </row>
    <row r="72" spans="1:9" ht="14.25" customHeight="1" x14ac:dyDescent="0.3">
      <c r="A72" s="5">
        <v>43954</v>
      </c>
      <c r="B72">
        <f t="shared" si="2"/>
        <v>18</v>
      </c>
      <c r="C72" s="6" t="s">
        <v>12</v>
      </c>
      <c r="D72" s="6">
        <v>8185.5</v>
      </c>
      <c r="E72" s="6">
        <v>637881</v>
      </c>
      <c r="F72" s="7" cm="1">
        <f t="array" ref="F72">_xlfn.XLOOKUP(A72&amp;C72, Лист2!$A$2:$A$505&amp;Лист2!$B$2:$B$505, Лист2!$C$2:$C$505)</f>
        <v>10</v>
      </c>
      <c r="G72" s="15" cm="1">
        <f t="array" ref="G72">_xlfn.XLOOKUP(A72&amp;C72, Лист2!$A$2:$A$505&amp;Лист2!$B$2:$B$505, Лист2!$D$2:$D$505)</f>
        <v>402</v>
      </c>
      <c r="H72" s="18" cm="1">
        <f t="array" ref="H72">_xlfn.XLOOKUP(A72&amp;C72, Лист2!$A$2:$A$505&amp;Лист2!$B$2:$B$505, Лист2!$E$2:$E$505)</f>
        <v>333</v>
      </c>
      <c r="I72" s="16">
        <f t="shared" si="3"/>
        <v>818.55</v>
      </c>
    </row>
    <row r="73" spans="1:9" ht="14.25" customHeight="1" x14ac:dyDescent="0.3">
      <c r="A73" s="8">
        <v>43981</v>
      </c>
      <c r="B73">
        <f t="shared" si="2"/>
        <v>22</v>
      </c>
      <c r="C73" s="9" t="s">
        <v>11</v>
      </c>
      <c r="D73" s="9">
        <v>108123</v>
      </c>
      <c r="E73" s="9">
        <v>9164707.5</v>
      </c>
      <c r="F73" s="7" cm="1">
        <f t="array" ref="F73">_xlfn.XLOOKUP(A73&amp;C73, Лист2!$A$2:$A$505&amp;Лист2!$B$2:$B$505, Лист2!$C$2:$C$505)</f>
        <v>31</v>
      </c>
      <c r="G73" s="15" cm="1">
        <f t="array" ref="G73">_xlfn.XLOOKUP(A73&amp;C73, Лист2!$A$2:$A$505&amp;Лист2!$B$2:$B$505, Лист2!$D$2:$D$505)</f>
        <v>6735</v>
      </c>
      <c r="H73" s="18" cm="1">
        <f t="array" ref="H73">_xlfn.XLOOKUP(A73&amp;C73, Лист2!$A$2:$A$505&amp;Лист2!$B$2:$B$505, Лист2!$E$2:$E$505)</f>
        <v>6264</v>
      </c>
      <c r="I73" s="16">
        <f t="shared" si="3"/>
        <v>3487.8387096774195</v>
      </c>
    </row>
    <row r="74" spans="1:9" ht="14.25" customHeight="1" x14ac:dyDescent="0.3">
      <c r="A74" s="5">
        <v>43957</v>
      </c>
      <c r="B74">
        <f t="shared" si="2"/>
        <v>19</v>
      </c>
      <c r="C74" s="6" t="s">
        <v>12</v>
      </c>
      <c r="D74" s="6">
        <v>9210</v>
      </c>
      <c r="E74" s="6">
        <v>696832.5</v>
      </c>
      <c r="F74" s="7" cm="1">
        <f t="array" ref="F74">_xlfn.XLOOKUP(A74&amp;C74, Лист2!$A$2:$A$505&amp;Лист2!$B$2:$B$505, Лист2!$C$2:$C$505)</f>
        <v>10</v>
      </c>
      <c r="G74" s="15" cm="1">
        <f t="array" ref="G74">_xlfn.XLOOKUP(A74&amp;C74, Лист2!$A$2:$A$505&amp;Лист2!$B$2:$B$505, Лист2!$D$2:$D$505)</f>
        <v>465</v>
      </c>
      <c r="H74" s="18" cm="1">
        <f t="array" ref="H74">_xlfn.XLOOKUP(A74&amp;C74, Лист2!$A$2:$A$505&amp;Лист2!$B$2:$B$505, Лист2!$E$2:$E$505)</f>
        <v>390</v>
      </c>
      <c r="I74" s="16">
        <f t="shared" si="3"/>
        <v>921</v>
      </c>
    </row>
    <row r="75" spans="1:9" ht="14.25" customHeight="1" x14ac:dyDescent="0.3">
      <c r="A75" s="8">
        <v>43974</v>
      </c>
      <c r="B75">
        <f t="shared" si="2"/>
        <v>21</v>
      </c>
      <c r="C75" s="9" t="s">
        <v>12</v>
      </c>
      <c r="D75" s="9">
        <v>14773.5</v>
      </c>
      <c r="E75" s="9">
        <v>1241383.5</v>
      </c>
      <c r="F75" s="7" cm="1">
        <f t="array" ref="F75">_xlfn.XLOOKUP(A75&amp;C75, Лист2!$A$2:$A$505&amp;Лист2!$B$2:$B$505, Лист2!$C$2:$C$505)</f>
        <v>10</v>
      </c>
      <c r="G75" s="15" cm="1">
        <f t="array" ref="G75">_xlfn.XLOOKUP(A75&amp;C75, Лист2!$A$2:$A$505&amp;Лист2!$B$2:$B$505, Лист2!$D$2:$D$505)</f>
        <v>828</v>
      </c>
      <c r="H75" s="18" cm="1">
        <f t="array" ref="H75">_xlfn.XLOOKUP(A75&amp;C75, Лист2!$A$2:$A$505&amp;Лист2!$B$2:$B$505, Лист2!$E$2:$E$505)</f>
        <v>734</v>
      </c>
      <c r="I75" s="16">
        <f t="shared" si="3"/>
        <v>1477.35</v>
      </c>
    </row>
    <row r="76" spans="1:9" ht="14.25" customHeight="1" x14ac:dyDescent="0.3">
      <c r="A76" s="5">
        <v>43979</v>
      </c>
      <c r="B76">
        <f t="shared" si="2"/>
        <v>22</v>
      </c>
      <c r="C76" s="6" t="s">
        <v>11</v>
      </c>
      <c r="D76" s="6">
        <v>78141</v>
      </c>
      <c r="E76" s="6">
        <v>6641569.5</v>
      </c>
      <c r="F76" s="7" cm="1">
        <f t="array" ref="F76">_xlfn.XLOOKUP(A76&amp;C76, Лист2!$A$2:$A$505&amp;Лист2!$B$2:$B$505, Лист2!$C$2:$C$505)</f>
        <v>31</v>
      </c>
      <c r="G76" s="15" cm="1">
        <f t="array" ref="G76">_xlfn.XLOOKUP(A76&amp;C76, Лист2!$A$2:$A$505&amp;Лист2!$B$2:$B$505, Лист2!$D$2:$D$505)</f>
        <v>5355</v>
      </c>
      <c r="H76" s="18" cm="1">
        <f t="array" ref="H76">_xlfn.XLOOKUP(A76&amp;C76, Лист2!$A$2:$A$505&amp;Лист2!$B$2:$B$505, Лист2!$E$2:$E$505)</f>
        <v>4969</v>
      </c>
      <c r="I76" s="16">
        <f t="shared" si="3"/>
        <v>2520.6774193548385</v>
      </c>
    </row>
    <row r="77" spans="1:9" ht="14.25" customHeight="1" x14ac:dyDescent="0.3">
      <c r="A77" s="8">
        <v>43976</v>
      </c>
      <c r="B77">
        <f t="shared" si="2"/>
        <v>22</v>
      </c>
      <c r="C77" s="9" t="s">
        <v>12</v>
      </c>
      <c r="D77" s="9">
        <v>12280.5</v>
      </c>
      <c r="E77" s="9">
        <v>1030440</v>
      </c>
      <c r="F77" s="7" cm="1">
        <f t="array" ref="F77">_xlfn.XLOOKUP(A77&amp;C77, Лист2!$A$2:$A$505&amp;Лист2!$B$2:$B$505, Лист2!$C$2:$C$505)</f>
        <v>10</v>
      </c>
      <c r="G77" s="15" cm="1">
        <f t="array" ref="G77">_xlfn.XLOOKUP(A77&amp;C77, Лист2!$A$2:$A$505&amp;Лист2!$B$2:$B$505, Лист2!$D$2:$D$505)</f>
        <v>739</v>
      </c>
      <c r="H77" s="18" cm="1">
        <f t="array" ref="H77">_xlfn.XLOOKUP(A77&amp;C77, Лист2!$A$2:$A$505&amp;Лист2!$B$2:$B$505, Лист2!$E$2:$E$505)</f>
        <v>642</v>
      </c>
      <c r="I77" s="16">
        <f t="shared" si="3"/>
        <v>1228.05</v>
      </c>
    </row>
    <row r="78" spans="1:9" ht="14.25" customHeight="1" x14ac:dyDescent="0.3">
      <c r="A78" s="5">
        <v>43951</v>
      </c>
      <c r="B78">
        <f t="shared" si="2"/>
        <v>18</v>
      </c>
      <c r="C78" s="6" t="s">
        <v>12</v>
      </c>
      <c r="D78" s="6">
        <v>8934</v>
      </c>
      <c r="E78" s="6">
        <v>716196</v>
      </c>
      <c r="F78" s="7" cm="1">
        <f t="array" ref="F78">_xlfn.XLOOKUP(A78&amp;C78, Лист2!$A$2:$A$505&amp;Лист2!$B$2:$B$505, Лист2!$C$2:$C$505)</f>
        <v>10</v>
      </c>
      <c r="G78" s="15" cm="1">
        <f t="array" ref="G78">_xlfn.XLOOKUP(A78&amp;C78, Лист2!$A$2:$A$505&amp;Лист2!$B$2:$B$505, Лист2!$D$2:$D$505)</f>
        <v>448</v>
      </c>
      <c r="H78" s="18" cm="1">
        <f t="array" ref="H78">_xlfn.XLOOKUP(A78&amp;C78, Лист2!$A$2:$A$505&amp;Лист2!$B$2:$B$505, Лист2!$E$2:$E$505)</f>
        <v>376</v>
      </c>
      <c r="I78" s="16">
        <f t="shared" si="3"/>
        <v>893.4</v>
      </c>
    </row>
    <row r="79" spans="1:9" ht="14.25" customHeight="1" x14ac:dyDescent="0.3">
      <c r="A79" s="8">
        <v>43961</v>
      </c>
      <c r="B79">
        <f t="shared" si="2"/>
        <v>19</v>
      </c>
      <c r="C79" s="9" t="s">
        <v>12</v>
      </c>
      <c r="D79" s="9">
        <v>12918</v>
      </c>
      <c r="E79" s="9">
        <v>1004788.5</v>
      </c>
      <c r="F79" s="7" cm="1">
        <f t="array" ref="F79">_xlfn.XLOOKUP(A79&amp;C79, Лист2!$A$2:$A$505&amp;Лист2!$B$2:$B$505, Лист2!$C$2:$C$505)</f>
        <v>10</v>
      </c>
      <c r="G79" s="15" cm="1">
        <f t="array" ref="G79">_xlfn.XLOOKUP(A79&amp;C79, Лист2!$A$2:$A$505&amp;Лист2!$B$2:$B$505, Лист2!$D$2:$D$505)</f>
        <v>642</v>
      </c>
      <c r="H79" s="18" cm="1">
        <f t="array" ref="H79">_xlfn.XLOOKUP(A79&amp;C79, Лист2!$A$2:$A$505&amp;Лист2!$B$2:$B$505, Лист2!$E$2:$E$505)</f>
        <v>556</v>
      </c>
      <c r="I79" s="16">
        <f t="shared" si="3"/>
        <v>1291.8</v>
      </c>
    </row>
    <row r="80" spans="1:9" ht="14.25" customHeight="1" x14ac:dyDescent="0.3">
      <c r="A80" s="5">
        <v>43959</v>
      </c>
      <c r="B80">
        <f t="shared" si="2"/>
        <v>19</v>
      </c>
      <c r="C80" s="6" t="s">
        <v>12</v>
      </c>
      <c r="D80" s="6">
        <v>12528</v>
      </c>
      <c r="E80" s="6">
        <v>959703</v>
      </c>
      <c r="F80" s="7" cm="1">
        <f t="array" ref="F80">_xlfn.XLOOKUP(A80&amp;C80, Лист2!$A$2:$A$505&amp;Лист2!$B$2:$B$505, Лист2!$C$2:$C$505)</f>
        <v>10</v>
      </c>
      <c r="G80" s="15" cm="1">
        <f t="array" ref="G80">_xlfn.XLOOKUP(A80&amp;C80, Лист2!$A$2:$A$505&amp;Лист2!$B$2:$B$505, Лист2!$D$2:$D$505)</f>
        <v>638</v>
      </c>
      <c r="H80" s="18" cm="1">
        <f t="array" ref="H80">_xlfn.XLOOKUP(A80&amp;C80, Лист2!$A$2:$A$505&amp;Лист2!$B$2:$B$505, Лист2!$E$2:$E$505)</f>
        <v>547</v>
      </c>
      <c r="I80" s="16">
        <f t="shared" si="3"/>
        <v>1252.8</v>
      </c>
    </row>
    <row r="81" spans="1:9" ht="14.25" customHeight="1" x14ac:dyDescent="0.3">
      <c r="A81" s="8">
        <v>43958</v>
      </c>
      <c r="B81">
        <f t="shared" si="2"/>
        <v>19</v>
      </c>
      <c r="C81" s="9" t="s">
        <v>12</v>
      </c>
      <c r="D81" s="9">
        <v>11029.5</v>
      </c>
      <c r="E81" s="9">
        <v>863754</v>
      </c>
      <c r="F81" s="7" cm="1">
        <f t="array" ref="F81">_xlfn.XLOOKUP(A81&amp;C81, Лист2!$A$2:$A$505&amp;Лист2!$B$2:$B$505, Лист2!$C$2:$C$505)</f>
        <v>10</v>
      </c>
      <c r="G81" s="15" cm="1">
        <f t="array" ref="G81">_xlfn.XLOOKUP(A81&amp;C81, Лист2!$A$2:$A$505&amp;Лист2!$B$2:$B$505, Лист2!$D$2:$D$505)</f>
        <v>563</v>
      </c>
      <c r="H81" s="18" cm="1">
        <f t="array" ref="H81">_xlfn.XLOOKUP(A81&amp;C81, Лист2!$A$2:$A$505&amp;Лист2!$B$2:$B$505, Лист2!$E$2:$E$505)</f>
        <v>486</v>
      </c>
      <c r="I81" s="16">
        <f t="shared" si="3"/>
        <v>1102.95</v>
      </c>
    </row>
    <row r="82" spans="1:9" ht="14.25" customHeight="1" x14ac:dyDescent="0.3">
      <c r="A82" s="5">
        <v>43975</v>
      </c>
      <c r="B82">
        <f t="shared" si="2"/>
        <v>21</v>
      </c>
      <c r="C82" s="6" t="s">
        <v>12</v>
      </c>
      <c r="D82" s="6">
        <v>9994.5</v>
      </c>
      <c r="E82" s="6">
        <v>828984</v>
      </c>
      <c r="F82" s="7" cm="1">
        <f t="array" ref="F82">_xlfn.XLOOKUP(A82&amp;C82, Лист2!$A$2:$A$505&amp;Лист2!$B$2:$B$505, Лист2!$C$2:$C$505)</f>
        <v>10</v>
      </c>
      <c r="G82" s="15" cm="1">
        <f t="array" ref="G82">_xlfn.XLOOKUP(A82&amp;C82, Лист2!$A$2:$A$505&amp;Лист2!$B$2:$B$505, Лист2!$D$2:$D$505)</f>
        <v>639</v>
      </c>
      <c r="H82" s="18" cm="1">
        <f t="array" ref="H82">_xlfn.XLOOKUP(A82&amp;C82, Лист2!$A$2:$A$505&amp;Лист2!$B$2:$B$505, Лист2!$E$2:$E$505)</f>
        <v>557</v>
      </c>
      <c r="I82" s="16">
        <f t="shared" si="3"/>
        <v>999.45</v>
      </c>
    </row>
    <row r="83" spans="1:9" ht="14.25" customHeight="1" x14ac:dyDescent="0.3">
      <c r="A83" s="8">
        <v>43982</v>
      </c>
      <c r="B83">
        <f t="shared" si="2"/>
        <v>22</v>
      </c>
      <c r="C83" s="9" t="s">
        <v>12</v>
      </c>
      <c r="D83" s="9">
        <v>12724.5</v>
      </c>
      <c r="E83" s="9">
        <v>1045515</v>
      </c>
      <c r="F83" s="7" cm="1">
        <f t="array" ref="F83">_xlfn.XLOOKUP(A83&amp;C83, Лист2!$A$2:$A$505&amp;Лист2!$B$2:$B$505, Лист2!$C$2:$C$505)</f>
        <v>10</v>
      </c>
      <c r="G83" s="15" cm="1">
        <f t="array" ref="G83">_xlfn.XLOOKUP(A83&amp;C83, Лист2!$A$2:$A$505&amp;Лист2!$B$2:$B$505, Лист2!$D$2:$D$505)</f>
        <v>749</v>
      </c>
      <c r="H83" s="18" cm="1">
        <f t="array" ref="H83">_xlfn.XLOOKUP(A83&amp;C83, Лист2!$A$2:$A$505&amp;Лист2!$B$2:$B$505, Лист2!$E$2:$E$505)</f>
        <v>655</v>
      </c>
      <c r="I83" s="16">
        <f t="shared" si="3"/>
        <v>1272.45</v>
      </c>
    </row>
    <row r="84" spans="1:9" ht="14.25" customHeight="1" x14ac:dyDescent="0.3">
      <c r="A84" s="5">
        <v>43981</v>
      </c>
      <c r="B84">
        <f t="shared" si="2"/>
        <v>22</v>
      </c>
      <c r="C84" s="6" t="s">
        <v>12</v>
      </c>
      <c r="D84" s="6">
        <v>14728.5</v>
      </c>
      <c r="E84" s="6">
        <v>1260483</v>
      </c>
      <c r="F84" s="7" cm="1">
        <f t="array" ref="F84">_xlfn.XLOOKUP(A84&amp;C84, Лист2!$A$2:$A$505&amp;Лист2!$B$2:$B$505, Лист2!$C$2:$C$505)</f>
        <v>10</v>
      </c>
      <c r="G84" s="15" cm="1">
        <f t="array" ref="G84">_xlfn.XLOOKUP(A84&amp;C84, Лист2!$A$2:$A$505&amp;Лист2!$B$2:$B$505, Лист2!$D$2:$D$505)</f>
        <v>865</v>
      </c>
      <c r="H84" s="18" cm="1">
        <f t="array" ref="H84">_xlfn.XLOOKUP(A84&amp;C84, Лист2!$A$2:$A$505&amp;Лист2!$B$2:$B$505, Лист2!$E$2:$E$505)</f>
        <v>763</v>
      </c>
      <c r="I84" s="16">
        <f t="shared" si="3"/>
        <v>1472.85</v>
      </c>
    </row>
    <row r="85" spans="1:9" ht="14.25" customHeight="1" x14ac:dyDescent="0.3">
      <c r="A85" s="8">
        <v>43979</v>
      </c>
      <c r="B85">
        <f t="shared" si="2"/>
        <v>22</v>
      </c>
      <c r="C85" s="9" t="s">
        <v>12</v>
      </c>
      <c r="D85" s="9">
        <v>13038</v>
      </c>
      <c r="E85" s="9">
        <v>1114552.5</v>
      </c>
      <c r="F85" s="7" cm="1">
        <f t="array" ref="F85">_xlfn.XLOOKUP(A85&amp;C85, Лист2!$A$2:$A$505&amp;Лист2!$B$2:$B$505, Лист2!$C$2:$C$505)</f>
        <v>10</v>
      </c>
      <c r="G85" s="15" cm="1">
        <f t="array" ref="G85">_xlfn.XLOOKUP(A85&amp;C85, Лист2!$A$2:$A$505&amp;Лист2!$B$2:$B$505, Лист2!$D$2:$D$505)</f>
        <v>791</v>
      </c>
      <c r="H85" s="18" cm="1">
        <f t="array" ref="H85">_xlfn.XLOOKUP(A85&amp;C85, Лист2!$A$2:$A$505&amp;Лист2!$B$2:$B$505, Лист2!$E$2:$E$505)</f>
        <v>697</v>
      </c>
      <c r="I85" s="16">
        <f t="shared" si="3"/>
        <v>1303.8</v>
      </c>
    </row>
    <row r="86" spans="1:9" ht="14.25" customHeight="1" x14ac:dyDescent="0.3">
      <c r="A86" s="5">
        <v>43967</v>
      </c>
      <c r="B86">
        <f t="shared" si="2"/>
        <v>20</v>
      </c>
      <c r="C86" s="6" t="s">
        <v>13</v>
      </c>
      <c r="D86" s="6">
        <v>35482.5</v>
      </c>
      <c r="E86" s="6">
        <v>3222517.5</v>
      </c>
      <c r="F86" s="7" cm="1">
        <f t="array" ref="F86">_xlfn.XLOOKUP(A86&amp;C86, Лист2!$A$2:$A$505&amp;Лист2!$B$2:$B$505, Лист2!$C$2:$C$505)</f>
        <v>19</v>
      </c>
      <c r="G86" s="15" cm="1">
        <f t="array" ref="G86">_xlfn.XLOOKUP(A86&amp;C86, Лист2!$A$2:$A$505&amp;Лист2!$B$2:$B$505, Лист2!$D$2:$D$505)</f>
        <v>2080</v>
      </c>
      <c r="H86" s="18" cm="1">
        <f t="array" ref="H86">_xlfn.XLOOKUP(A86&amp;C86, Лист2!$A$2:$A$505&amp;Лист2!$B$2:$B$505, Лист2!$E$2:$E$505)</f>
        <v>1844</v>
      </c>
      <c r="I86" s="16">
        <f t="shared" si="3"/>
        <v>1867.5</v>
      </c>
    </row>
    <row r="87" spans="1:9" ht="14.25" customHeight="1" x14ac:dyDescent="0.3">
      <c r="A87" s="8">
        <v>43970</v>
      </c>
      <c r="B87">
        <f t="shared" si="2"/>
        <v>21</v>
      </c>
      <c r="C87" s="9" t="s">
        <v>13</v>
      </c>
      <c r="D87" s="9">
        <v>32434.5</v>
      </c>
      <c r="E87" s="9">
        <v>2865337.5</v>
      </c>
      <c r="F87" s="7" cm="1">
        <f t="array" ref="F87">_xlfn.XLOOKUP(A87&amp;C87, Лист2!$A$2:$A$505&amp;Лист2!$B$2:$B$505, Лист2!$C$2:$C$505)</f>
        <v>19</v>
      </c>
      <c r="G87" s="15" cm="1">
        <f t="array" ref="G87">_xlfn.XLOOKUP(A87&amp;C87, Лист2!$A$2:$A$505&amp;Лист2!$B$2:$B$505, Лист2!$D$2:$D$505)</f>
        <v>1999</v>
      </c>
      <c r="H87" s="18" cm="1">
        <f t="array" ref="H87">_xlfn.XLOOKUP(A87&amp;C87, Лист2!$A$2:$A$505&amp;Лист2!$B$2:$B$505, Лист2!$E$2:$E$505)</f>
        <v>1799</v>
      </c>
      <c r="I87" s="16">
        <f t="shared" si="3"/>
        <v>1707.078947368421</v>
      </c>
    </row>
    <row r="88" spans="1:9" ht="14.25" customHeight="1" x14ac:dyDescent="0.3">
      <c r="A88" s="5">
        <v>43968</v>
      </c>
      <c r="B88">
        <f t="shared" si="2"/>
        <v>20</v>
      </c>
      <c r="C88" s="6" t="s">
        <v>13</v>
      </c>
      <c r="D88" s="6">
        <v>30486</v>
      </c>
      <c r="E88" s="6">
        <v>2694289.5</v>
      </c>
      <c r="F88" s="7" cm="1">
        <f t="array" ref="F88">_xlfn.XLOOKUP(A88&amp;C88, Лист2!$A$2:$A$505&amp;Лист2!$B$2:$B$505, Лист2!$C$2:$C$505)</f>
        <v>19</v>
      </c>
      <c r="G88" s="15" cm="1">
        <f t="array" ref="G88">_xlfn.XLOOKUP(A88&amp;C88, Лист2!$A$2:$A$505&amp;Лист2!$B$2:$B$505, Лист2!$D$2:$D$505)</f>
        <v>1871</v>
      </c>
      <c r="H88" s="18" cm="1">
        <f t="array" ref="H88">_xlfn.XLOOKUP(A88&amp;C88, Лист2!$A$2:$A$505&amp;Лист2!$B$2:$B$505, Лист2!$E$2:$E$505)</f>
        <v>1660</v>
      </c>
      <c r="I88" s="16">
        <f t="shared" si="3"/>
        <v>1604.5263157894738</v>
      </c>
    </row>
    <row r="89" spans="1:9" ht="14.25" customHeight="1" x14ac:dyDescent="0.3">
      <c r="A89" s="8">
        <v>43960</v>
      </c>
      <c r="B89">
        <f t="shared" si="2"/>
        <v>19</v>
      </c>
      <c r="C89" s="9" t="s">
        <v>13</v>
      </c>
      <c r="D89" s="9">
        <v>32079</v>
      </c>
      <c r="E89" s="9">
        <v>2902167</v>
      </c>
      <c r="F89" s="7" cm="1">
        <f t="array" ref="F89">_xlfn.XLOOKUP(A89&amp;C89, Лист2!$A$2:$A$505&amp;Лист2!$B$2:$B$505, Лист2!$C$2:$C$505)</f>
        <v>19</v>
      </c>
      <c r="G89" s="15" cm="1">
        <f t="array" ref="G89">_xlfn.XLOOKUP(A89&amp;C89, Лист2!$A$2:$A$505&amp;Лист2!$B$2:$B$505, Лист2!$D$2:$D$505)</f>
        <v>1851</v>
      </c>
      <c r="H89" s="18" cm="1">
        <f t="array" ref="H89">_xlfn.XLOOKUP(A89&amp;C89, Лист2!$A$2:$A$505&amp;Лист2!$B$2:$B$505, Лист2!$E$2:$E$505)</f>
        <v>1635</v>
      </c>
      <c r="I89" s="16">
        <f t="shared" si="3"/>
        <v>1688.3684210526317</v>
      </c>
    </row>
    <row r="90" spans="1:9" ht="14.25" customHeight="1" x14ac:dyDescent="0.3">
      <c r="A90" s="5">
        <v>43955</v>
      </c>
      <c r="B90">
        <f t="shared" si="2"/>
        <v>19</v>
      </c>
      <c r="C90" s="6" t="s">
        <v>13</v>
      </c>
      <c r="D90" s="6">
        <v>27072</v>
      </c>
      <c r="E90" s="6">
        <v>2450968.5</v>
      </c>
      <c r="F90" s="7" cm="1">
        <f t="array" ref="F90">_xlfn.XLOOKUP(A90&amp;C90, Лист2!$A$2:$A$505&amp;Лист2!$B$2:$B$505, Лист2!$C$2:$C$505)</f>
        <v>19</v>
      </c>
      <c r="G90" s="15" cm="1">
        <f t="array" ref="G90">_xlfn.XLOOKUP(A90&amp;C90, Лист2!$A$2:$A$505&amp;Лист2!$B$2:$B$505, Лист2!$D$2:$D$505)</f>
        <v>1582</v>
      </c>
      <c r="H90" s="18" cm="1">
        <f t="array" ref="H90">_xlfn.XLOOKUP(A90&amp;C90, Лист2!$A$2:$A$505&amp;Лист2!$B$2:$B$505, Лист2!$E$2:$E$505)</f>
        <v>1403</v>
      </c>
      <c r="I90" s="16">
        <f t="shared" si="3"/>
        <v>1424.8421052631579</v>
      </c>
    </row>
    <row r="91" spans="1:9" ht="14.25" customHeight="1" x14ac:dyDescent="0.3">
      <c r="A91" s="8">
        <v>43950</v>
      </c>
      <c r="B91">
        <f t="shared" si="2"/>
        <v>18</v>
      </c>
      <c r="C91" s="9" t="s">
        <v>13</v>
      </c>
      <c r="D91" s="9">
        <v>25917</v>
      </c>
      <c r="E91" s="9">
        <v>2397588</v>
      </c>
      <c r="F91" s="7" cm="1">
        <f t="array" ref="F91">_xlfn.XLOOKUP(A91&amp;C91, Лист2!$A$2:$A$505&amp;Лист2!$B$2:$B$505, Лист2!$C$2:$C$505)</f>
        <v>18</v>
      </c>
      <c r="G91" s="15" cm="1">
        <f t="array" ref="G91">_xlfn.XLOOKUP(A91&amp;C91, Лист2!$A$2:$A$505&amp;Лист2!$B$2:$B$505, Лист2!$D$2:$D$505)</f>
        <v>1534</v>
      </c>
      <c r="H91" s="18" cm="1">
        <f t="array" ref="H91">_xlfn.XLOOKUP(A91&amp;C91, Лист2!$A$2:$A$505&amp;Лист2!$B$2:$B$505, Лист2!$E$2:$E$505)</f>
        <v>1369</v>
      </c>
      <c r="I91" s="16">
        <f t="shared" si="3"/>
        <v>1439.8333333333333</v>
      </c>
    </row>
    <row r="92" spans="1:9" ht="14.25" customHeight="1" x14ac:dyDescent="0.3">
      <c r="A92" s="5">
        <v>43953</v>
      </c>
      <c r="B92">
        <f t="shared" si="2"/>
        <v>18</v>
      </c>
      <c r="C92" s="6" t="s">
        <v>13</v>
      </c>
      <c r="D92" s="6">
        <v>19461</v>
      </c>
      <c r="E92" s="6">
        <v>1799230.5</v>
      </c>
      <c r="F92" s="7" cm="1">
        <f t="array" ref="F92">_xlfn.XLOOKUP(A92&amp;C92, Лист2!$A$2:$A$505&amp;Лист2!$B$2:$B$505, Лист2!$C$2:$C$505)</f>
        <v>19</v>
      </c>
      <c r="G92" s="15" cm="1">
        <f t="array" ref="G92">_xlfn.XLOOKUP(A92&amp;C92, Лист2!$A$2:$A$505&amp;Лист2!$B$2:$B$505, Лист2!$D$2:$D$505)</f>
        <v>1217</v>
      </c>
      <c r="H92" s="18" cm="1">
        <f t="array" ref="H92">_xlfn.XLOOKUP(A92&amp;C92, Лист2!$A$2:$A$505&amp;Лист2!$B$2:$B$505, Лист2!$E$2:$E$505)</f>
        <v>1048</v>
      </c>
      <c r="I92" s="16">
        <f t="shared" si="3"/>
        <v>1024.2631578947369</v>
      </c>
    </row>
    <row r="93" spans="1:9" ht="14.25" customHeight="1" x14ac:dyDescent="0.3">
      <c r="A93" s="8">
        <v>43977</v>
      </c>
      <c r="B93">
        <f t="shared" si="2"/>
        <v>22</v>
      </c>
      <c r="C93" s="9" t="s">
        <v>13</v>
      </c>
      <c r="D93" s="9">
        <v>31407</v>
      </c>
      <c r="E93" s="9">
        <v>2907411</v>
      </c>
      <c r="F93" s="7" cm="1">
        <f t="array" ref="F93">_xlfn.XLOOKUP(A93&amp;C93, Лист2!$A$2:$A$505&amp;Лист2!$B$2:$B$505, Лист2!$C$2:$C$505)</f>
        <v>20</v>
      </c>
      <c r="G93" s="15" cm="1">
        <f t="array" ref="G93">_xlfn.XLOOKUP(A93&amp;C93, Лист2!$A$2:$A$505&amp;Лист2!$B$2:$B$505, Лист2!$D$2:$D$505)</f>
        <v>2036</v>
      </c>
      <c r="H93" s="18" cm="1">
        <f t="array" ref="H93">_xlfn.XLOOKUP(A93&amp;C93, Лист2!$A$2:$A$505&amp;Лист2!$B$2:$B$505, Лист2!$E$2:$E$505)</f>
        <v>1790</v>
      </c>
      <c r="I93" s="16">
        <f t="shared" si="3"/>
        <v>1570.35</v>
      </c>
    </row>
    <row r="94" spans="1:9" ht="14.25" customHeight="1" x14ac:dyDescent="0.3">
      <c r="A94" s="5">
        <v>43952</v>
      </c>
      <c r="B94">
        <f t="shared" si="2"/>
        <v>18</v>
      </c>
      <c r="C94" s="6" t="s">
        <v>13</v>
      </c>
      <c r="D94" s="6">
        <v>25792.5</v>
      </c>
      <c r="E94" s="6">
        <v>2374356</v>
      </c>
      <c r="F94" s="7" cm="1">
        <f t="array" ref="F94">_xlfn.XLOOKUP(A94&amp;C94, Лист2!$A$2:$A$505&amp;Лист2!$B$2:$B$505, Лист2!$C$2:$C$505)</f>
        <v>19</v>
      </c>
      <c r="G94" s="15" cm="1">
        <f t="array" ref="G94">_xlfn.XLOOKUP(A94&amp;C94, Лист2!$A$2:$A$505&amp;Лист2!$B$2:$B$505, Лист2!$D$2:$D$505)</f>
        <v>1497</v>
      </c>
      <c r="H94" s="18" cm="1">
        <f t="array" ref="H94">_xlfn.XLOOKUP(A94&amp;C94, Лист2!$A$2:$A$505&amp;Лист2!$B$2:$B$505, Лист2!$E$2:$E$505)</f>
        <v>1291</v>
      </c>
      <c r="I94" s="16">
        <f t="shared" si="3"/>
        <v>1357.5</v>
      </c>
    </row>
    <row r="95" spans="1:9" ht="14.25" customHeight="1" x14ac:dyDescent="0.3">
      <c r="A95" s="8">
        <v>43963</v>
      </c>
      <c r="B95">
        <f t="shared" si="2"/>
        <v>20</v>
      </c>
      <c r="C95" s="9" t="s">
        <v>13</v>
      </c>
      <c r="D95" s="9">
        <v>26032.5</v>
      </c>
      <c r="E95" s="9">
        <v>2370432</v>
      </c>
      <c r="F95" s="7" cm="1">
        <f t="array" ref="F95">_xlfn.XLOOKUP(A95&amp;C95, Лист2!$A$2:$A$505&amp;Лист2!$B$2:$B$505, Лист2!$C$2:$C$505)</f>
        <v>19</v>
      </c>
      <c r="G95" s="15" cm="1">
        <f t="array" ref="G95">_xlfn.XLOOKUP(A95&amp;C95, Лист2!$A$2:$A$505&amp;Лист2!$B$2:$B$505, Лист2!$D$2:$D$505)</f>
        <v>1649</v>
      </c>
      <c r="H95" s="18" cm="1">
        <f t="array" ref="H95">_xlfn.XLOOKUP(A95&amp;C95, Лист2!$A$2:$A$505&amp;Лист2!$B$2:$B$505, Лист2!$E$2:$E$505)</f>
        <v>1460</v>
      </c>
      <c r="I95" s="16">
        <f t="shared" si="3"/>
        <v>1370.1315789473683</v>
      </c>
    </row>
    <row r="96" spans="1:9" ht="14.25" customHeight="1" x14ac:dyDescent="0.3">
      <c r="A96" s="5">
        <v>43972</v>
      </c>
      <c r="B96">
        <f t="shared" si="2"/>
        <v>21</v>
      </c>
      <c r="C96" s="6" t="s">
        <v>13</v>
      </c>
      <c r="D96" s="6">
        <v>31707</v>
      </c>
      <c r="E96" s="6">
        <v>2853181.5</v>
      </c>
      <c r="F96" s="7" cm="1">
        <f t="array" ref="F96">_xlfn.XLOOKUP(A96&amp;C96, Лист2!$A$2:$A$505&amp;Лист2!$B$2:$B$505, Лист2!$C$2:$C$505)</f>
        <v>19</v>
      </c>
      <c r="G96" s="15" cm="1">
        <f t="array" ref="G96">_xlfn.XLOOKUP(A96&amp;C96, Лист2!$A$2:$A$505&amp;Лист2!$B$2:$B$505, Лист2!$D$2:$D$505)</f>
        <v>1949</v>
      </c>
      <c r="H96" s="18" cm="1">
        <f t="array" ref="H96">_xlfn.XLOOKUP(A96&amp;C96, Лист2!$A$2:$A$505&amp;Лист2!$B$2:$B$505, Лист2!$E$2:$E$505)</f>
        <v>1724</v>
      </c>
      <c r="I96" s="16">
        <f t="shared" si="3"/>
        <v>1668.7894736842106</v>
      </c>
    </row>
    <row r="97" spans="1:9" ht="14.25" customHeight="1" x14ac:dyDescent="0.3">
      <c r="A97" s="8">
        <v>43971</v>
      </c>
      <c r="B97">
        <f t="shared" si="2"/>
        <v>21</v>
      </c>
      <c r="C97" s="9" t="s">
        <v>13</v>
      </c>
      <c r="D97" s="9">
        <v>29955</v>
      </c>
      <c r="E97" s="9">
        <v>2692230</v>
      </c>
      <c r="F97" s="7" cm="1">
        <f t="array" ref="F97">_xlfn.XLOOKUP(A97&amp;C97, Лист2!$A$2:$A$505&amp;Лист2!$B$2:$B$505, Лист2!$C$2:$C$505)</f>
        <v>19</v>
      </c>
      <c r="G97" s="15" cm="1">
        <f t="array" ref="G97">_xlfn.XLOOKUP(A97&amp;C97, Лист2!$A$2:$A$505&amp;Лист2!$B$2:$B$505, Лист2!$D$2:$D$505)</f>
        <v>1889</v>
      </c>
      <c r="H97" s="18" cm="1">
        <f t="array" ref="H97">_xlfn.XLOOKUP(A97&amp;C97, Лист2!$A$2:$A$505&amp;Лист2!$B$2:$B$505, Лист2!$E$2:$E$505)</f>
        <v>1690</v>
      </c>
      <c r="I97" s="16">
        <f t="shared" si="3"/>
        <v>1576.578947368421</v>
      </c>
    </row>
    <row r="98" spans="1:9" ht="14.25" customHeight="1" x14ac:dyDescent="0.3">
      <c r="A98" s="5">
        <v>43956</v>
      </c>
      <c r="B98">
        <f t="shared" si="2"/>
        <v>19</v>
      </c>
      <c r="C98" s="6" t="s">
        <v>13</v>
      </c>
      <c r="D98" s="6">
        <v>22848</v>
      </c>
      <c r="E98" s="6">
        <v>2079900</v>
      </c>
      <c r="F98" s="7" cm="1">
        <f t="array" ref="F98">_xlfn.XLOOKUP(A98&amp;C98, Лист2!$A$2:$A$505&amp;Лист2!$B$2:$B$505, Лист2!$C$2:$C$505)</f>
        <v>19</v>
      </c>
      <c r="G98" s="15" cm="1">
        <f t="array" ref="G98">_xlfn.XLOOKUP(A98&amp;C98, Лист2!$A$2:$A$505&amp;Лист2!$B$2:$B$505, Лист2!$D$2:$D$505)</f>
        <v>1417</v>
      </c>
      <c r="H98" s="18" cm="1">
        <f t="array" ref="H98">_xlfn.XLOOKUP(A98&amp;C98, Лист2!$A$2:$A$505&amp;Лист2!$B$2:$B$505, Лист2!$E$2:$E$505)</f>
        <v>1245</v>
      </c>
      <c r="I98" s="16">
        <f t="shared" si="3"/>
        <v>1202.5263157894738</v>
      </c>
    </row>
    <row r="99" spans="1:9" ht="14.25" customHeight="1" x14ac:dyDescent="0.3">
      <c r="A99" s="8">
        <v>43949</v>
      </c>
      <c r="B99">
        <f t="shared" si="2"/>
        <v>18</v>
      </c>
      <c r="C99" s="9" t="s">
        <v>13</v>
      </c>
      <c r="D99" s="9">
        <v>23314.5</v>
      </c>
      <c r="E99" s="9">
        <v>2136817.5</v>
      </c>
      <c r="F99" s="7" cm="1">
        <f t="array" ref="F99">_xlfn.XLOOKUP(A99&amp;C99, Лист2!$A$2:$A$505&amp;Лист2!$B$2:$B$505, Лист2!$C$2:$C$505)</f>
        <v>17</v>
      </c>
      <c r="G99" s="15" cm="1">
        <f t="array" ref="G99">_xlfn.XLOOKUP(A99&amp;C99, Лист2!$A$2:$A$505&amp;Лист2!$B$2:$B$505, Лист2!$D$2:$D$505)</f>
        <v>1439</v>
      </c>
      <c r="H99" s="18" cm="1">
        <f t="array" ref="H99">_xlfn.XLOOKUP(A99&amp;C99, Лист2!$A$2:$A$505&amp;Лист2!$B$2:$B$505, Лист2!$E$2:$E$505)</f>
        <v>1265</v>
      </c>
      <c r="I99" s="16">
        <f t="shared" si="3"/>
        <v>1371.4411764705883</v>
      </c>
    </row>
    <row r="100" spans="1:9" ht="14.25" customHeight="1" x14ac:dyDescent="0.3">
      <c r="A100" s="5">
        <v>43964</v>
      </c>
      <c r="B100">
        <f t="shared" si="2"/>
        <v>20</v>
      </c>
      <c r="C100" s="6" t="s">
        <v>13</v>
      </c>
      <c r="D100" s="6">
        <v>26464.5</v>
      </c>
      <c r="E100" s="6">
        <v>2373337.5</v>
      </c>
      <c r="F100" s="7" cm="1">
        <f t="array" ref="F100">_xlfn.XLOOKUP(A100&amp;C100, Лист2!$A$2:$A$505&amp;Лист2!$B$2:$B$505, Лист2!$C$2:$C$505)</f>
        <v>19</v>
      </c>
      <c r="G100" s="15" cm="1">
        <f t="array" ref="G100">_xlfn.XLOOKUP(A100&amp;C100, Лист2!$A$2:$A$505&amp;Лист2!$B$2:$B$505, Лист2!$D$2:$D$505)</f>
        <v>1625</v>
      </c>
      <c r="H100" s="18" cm="1">
        <f t="array" ref="H100">_xlfn.XLOOKUP(A100&amp;C100, Лист2!$A$2:$A$505&amp;Лист2!$B$2:$B$505, Лист2!$E$2:$E$505)</f>
        <v>1444</v>
      </c>
      <c r="I100" s="16">
        <f t="shared" si="3"/>
        <v>1392.8684210526317</v>
      </c>
    </row>
    <row r="101" spans="1:9" ht="14.25" customHeight="1" x14ac:dyDescent="0.3">
      <c r="A101" s="8">
        <v>43954</v>
      </c>
      <c r="B101">
        <f t="shared" si="2"/>
        <v>18</v>
      </c>
      <c r="C101" s="9" t="s">
        <v>13</v>
      </c>
      <c r="D101" s="9">
        <v>23539.5</v>
      </c>
      <c r="E101" s="9">
        <v>2170309.5</v>
      </c>
      <c r="F101" s="7" cm="1">
        <f t="array" ref="F101">_xlfn.XLOOKUP(A101&amp;C101, Лист2!$A$2:$A$505&amp;Лист2!$B$2:$B$505, Лист2!$C$2:$C$505)</f>
        <v>19</v>
      </c>
      <c r="G101" s="15" cm="1">
        <f t="array" ref="G101">_xlfn.XLOOKUP(A101&amp;C101, Лист2!$A$2:$A$505&amp;Лист2!$B$2:$B$505, Лист2!$D$2:$D$505)</f>
        <v>1402</v>
      </c>
      <c r="H101" s="18" cm="1">
        <f t="array" ref="H101">_xlfn.XLOOKUP(A101&amp;C101, Лист2!$A$2:$A$505&amp;Лист2!$B$2:$B$505, Лист2!$E$2:$E$505)</f>
        <v>1234</v>
      </c>
      <c r="I101" s="16">
        <f t="shared" si="3"/>
        <v>1238.921052631579</v>
      </c>
    </row>
    <row r="102" spans="1:9" ht="14.25" customHeight="1" x14ac:dyDescent="0.3">
      <c r="A102" s="5">
        <v>43957</v>
      </c>
      <c r="B102">
        <f t="shared" si="2"/>
        <v>19</v>
      </c>
      <c r="C102" s="6" t="s">
        <v>13</v>
      </c>
      <c r="D102" s="6">
        <v>24678</v>
      </c>
      <c r="E102" s="6">
        <v>2232519</v>
      </c>
      <c r="F102" s="7" cm="1">
        <f t="array" ref="F102">_xlfn.XLOOKUP(A102&amp;C102, Лист2!$A$2:$A$505&amp;Лист2!$B$2:$B$505, Лист2!$C$2:$C$505)</f>
        <v>19</v>
      </c>
      <c r="G102" s="15" cm="1">
        <f t="array" ref="G102">_xlfn.XLOOKUP(A102&amp;C102, Лист2!$A$2:$A$505&amp;Лист2!$B$2:$B$505, Лист2!$D$2:$D$505)</f>
        <v>1499</v>
      </c>
      <c r="H102" s="18" cm="1">
        <f t="array" ref="H102">_xlfn.XLOOKUP(A102&amp;C102, Лист2!$A$2:$A$505&amp;Лист2!$B$2:$B$505, Лист2!$E$2:$E$505)</f>
        <v>1323</v>
      </c>
      <c r="I102" s="16">
        <f t="shared" si="3"/>
        <v>1298.8421052631579</v>
      </c>
    </row>
    <row r="103" spans="1:9" ht="14.25" customHeight="1" x14ac:dyDescent="0.3">
      <c r="A103" s="8">
        <v>43974</v>
      </c>
      <c r="B103">
        <f t="shared" si="2"/>
        <v>21</v>
      </c>
      <c r="C103" s="9" t="s">
        <v>13</v>
      </c>
      <c r="D103" s="9">
        <v>38176.5</v>
      </c>
      <c r="E103" s="9">
        <v>3385372.5</v>
      </c>
      <c r="F103" s="7" cm="1">
        <f t="array" ref="F103">_xlfn.XLOOKUP(A103&amp;C103, Лист2!$A$2:$A$505&amp;Лист2!$B$2:$B$505, Лист2!$C$2:$C$505)</f>
        <v>20</v>
      </c>
      <c r="G103" s="15" cm="1">
        <f t="array" ref="G103">_xlfn.XLOOKUP(A103&amp;C103, Лист2!$A$2:$A$505&amp;Лист2!$B$2:$B$505, Лист2!$D$2:$D$505)</f>
        <v>2266</v>
      </c>
      <c r="H103" s="18" cm="1">
        <f t="array" ref="H103">_xlfn.XLOOKUP(A103&amp;C103, Лист2!$A$2:$A$505&amp;Лист2!$B$2:$B$505, Лист2!$E$2:$E$505)</f>
        <v>1993</v>
      </c>
      <c r="I103" s="16">
        <f t="shared" si="3"/>
        <v>1908.825</v>
      </c>
    </row>
    <row r="104" spans="1:9" ht="14.25" customHeight="1" x14ac:dyDescent="0.3">
      <c r="A104" s="5">
        <v>43976</v>
      </c>
      <c r="B104">
        <f t="shared" si="2"/>
        <v>22</v>
      </c>
      <c r="C104" s="6" t="s">
        <v>13</v>
      </c>
      <c r="D104" s="6">
        <v>30603</v>
      </c>
      <c r="E104" s="6">
        <v>2865727.5</v>
      </c>
      <c r="F104" s="7" cm="1">
        <f t="array" ref="F104">_xlfn.XLOOKUP(A104&amp;C104, Лист2!$A$2:$A$505&amp;Лист2!$B$2:$B$505, Лист2!$C$2:$C$505)</f>
        <v>20</v>
      </c>
      <c r="G104" s="15" cm="1">
        <f t="array" ref="G104">_xlfn.XLOOKUP(A104&amp;C104, Лист2!$A$2:$A$505&amp;Лист2!$B$2:$B$505, Лист2!$D$2:$D$505)</f>
        <v>2011</v>
      </c>
      <c r="H104" s="18" cm="1">
        <f t="array" ref="H104">_xlfn.XLOOKUP(A104&amp;C104, Лист2!$A$2:$A$505&amp;Лист2!$B$2:$B$505, Лист2!$E$2:$E$505)</f>
        <v>1791</v>
      </c>
      <c r="I104" s="16">
        <f t="shared" si="3"/>
        <v>1530.15</v>
      </c>
    </row>
    <row r="105" spans="1:9" ht="14.25" customHeight="1" x14ac:dyDescent="0.3">
      <c r="A105" s="8">
        <v>43951</v>
      </c>
      <c r="B105">
        <f t="shared" si="2"/>
        <v>18</v>
      </c>
      <c r="C105" s="9" t="s">
        <v>13</v>
      </c>
      <c r="D105" s="9">
        <v>24211.5</v>
      </c>
      <c r="E105" s="9">
        <v>2267664</v>
      </c>
      <c r="F105" s="7" cm="1">
        <f t="array" ref="F105">_xlfn.XLOOKUP(A105&amp;C105, Лист2!$A$2:$A$505&amp;Лист2!$B$2:$B$505, Лист2!$C$2:$C$505)</f>
        <v>19</v>
      </c>
      <c r="G105" s="15" cm="1">
        <f t="array" ref="G105">_xlfn.XLOOKUP(A105&amp;C105, Лист2!$A$2:$A$505&amp;Лист2!$B$2:$B$505, Лист2!$D$2:$D$505)</f>
        <v>1499</v>
      </c>
      <c r="H105" s="18" cm="1">
        <f t="array" ref="H105">_xlfn.XLOOKUP(A105&amp;C105, Лист2!$A$2:$A$505&amp;Лист2!$B$2:$B$505, Лист2!$E$2:$E$505)</f>
        <v>1322</v>
      </c>
      <c r="I105" s="16">
        <f t="shared" si="3"/>
        <v>1274.2894736842106</v>
      </c>
    </row>
    <row r="106" spans="1:9" ht="14.25" customHeight="1" x14ac:dyDescent="0.3">
      <c r="A106" s="5">
        <v>43961</v>
      </c>
      <c r="B106">
        <f t="shared" si="2"/>
        <v>19</v>
      </c>
      <c r="C106" s="6" t="s">
        <v>13</v>
      </c>
      <c r="D106" s="6">
        <v>31399.5</v>
      </c>
      <c r="E106" s="6">
        <v>2862298.5</v>
      </c>
      <c r="F106" s="7" cm="1">
        <f t="array" ref="F106">_xlfn.XLOOKUP(A106&amp;C106, Лист2!$A$2:$A$505&amp;Лист2!$B$2:$B$505, Лист2!$C$2:$C$505)</f>
        <v>19</v>
      </c>
      <c r="G106" s="15" cm="1">
        <f t="array" ref="G106">_xlfn.XLOOKUP(A106&amp;C106, Лист2!$A$2:$A$505&amp;Лист2!$B$2:$B$505, Лист2!$D$2:$D$505)</f>
        <v>1848</v>
      </c>
      <c r="H106" s="18" cm="1">
        <f t="array" ref="H106">_xlfn.XLOOKUP(A106&amp;C106, Лист2!$A$2:$A$505&amp;Лист2!$B$2:$B$505, Лист2!$E$2:$E$505)</f>
        <v>1649</v>
      </c>
      <c r="I106" s="16">
        <f t="shared" si="3"/>
        <v>1652.6052631578948</v>
      </c>
    </row>
    <row r="107" spans="1:9" ht="14.25" customHeight="1" x14ac:dyDescent="0.3">
      <c r="A107" s="8">
        <v>43959</v>
      </c>
      <c r="B107">
        <f t="shared" si="2"/>
        <v>19</v>
      </c>
      <c r="C107" s="9" t="s">
        <v>13</v>
      </c>
      <c r="D107" s="9">
        <v>25294.5</v>
      </c>
      <c r="E107" s="9">
        <v>2271454.5</v>
      </c>
      <c r="F107" s="7" cm="1">
        <f t="array" ref="F107">_xlfn.XLOOKUP(A107&amp;C107, Лист2!$A$2:$A$505&amp;Лист2!$B$2:$B$505, Лист2!$C$2:$C$505)</f>
        <v>19</v>
      </c>
      <c r="G107" s="15" cm="1">
        <f t="array" ref="G107">_xlfn.XLOOKUP(A107&amp;C107, Лист2!$A$2:$A$505&amp;Лист2!$B$2:$B$505, Лист2!$D$2:$D$505)</f>
        <v>1522</v>
      </c>
      <c r="H107" s="18" cm="1">
        <f t="array" ref="H107">_xlfn.XLOOKUP(A107&amp;C107, Лист2!$A$2:$A$505&amp;Лист2!$B$2:$B$505, Лист2!$E$2:$E$505)</f>
        <v>1340</v>
      </c>
      <c r="I107" s="16">
        <f t="shared" si="3"/>
        <v>1331.2894736842106</v>
      </c>
    </row>
    <row r="108" spans="1:9" ht="14.25" customHeight="1" x14ac:dyDescent="0.3">
      <c r="A108" s="5">
        <v>43958</v>
      </c>
      <c r="B108">
        <f t="shared" si="2"/>
        <v>19</v>
      </c>
      <c r="C108" s="6" t="s">
        <v>13</v>
      </c>
      <c r="D108" s="6">
        <v>25468.5</v>
      </c>
      <c r="E108" s="6">
        <v>2350672.5</v>
      </c>
      <c r="F108" s="7" cm="1">
        <f t="array" ref="F108">_xlfn.XLOOKUP(A108&amp;C108, Лист2!$A$2:$A$505&amp;Лист2!$B$2:$B$505, Лист2!$C$2:$C$505)</f>
        <v>19</v>
      </c>
      <c r="G108" s="15" cm="1">
        <f t="array" ref="G108">_xlfn.XLOOKUP(A108&amp;C108, Лист2!$A$2:$A$505&amp;Лист2!$B$2:$B$505, Лист2!$D$2:$D$505)</f>
        <v>1530</v>
      </c>
      <c r="H108" s="18" cm="1">
        <f t="array" ref="H108">_xlfn.XLOOKUP(A108&amp;C108, Лист2!$A$2:$A$505&amp;Лист2!$B$2:$B$505, Лист2!$E$2:$E$505)</f>
        <v>1338</v>
      </c>
      <c r="I108" s="16">
        <f t="shared" si="3"/>
        <v>1340.4473684210527</v>
      </c>
    </row>
    <row r="109" spans="1:9" ht="14.25" customHeight="1" x14ac:dyDescent="0.3">
      <c r="A109" s="8">
        <v>43975</v>
      </c>
      <c r="B109">
        <f t="shared" si="2"/>
        <v>21</v>
      </c>
      <c r="C109" s="9" t="s">
        <v>13</v>
      </c>
      <c r="D109" s="9">
        <v>31854</v>
      </c>
      <c r="E109" s="9">
        <v>2915533.5</v>
      </c>
      <c r="F109" s="7" cm="1">
        <f t="array" ref="F109">_xlfn.XLOOKUP(A109&amp;C109, Лист2!$A$2:$A$505&amp;Лист2!$B$2:$B$505, Лист2!$C$2:$C$505)</f>
        <v>20</v>
      </c>
      <c r="G109" s="15" cm="1">
        <f t="array" ref="G109">_xlfn.XLOOKUP(A109&amp;C109, Лист2!$A$2:$A$505&amp;Лист2!$B$2:$B$505, Лист2!$D$2:$D$505)</f>
        <v>2015</v>
      </c>
      <c r="H109" s="18" cm="1">
        <f t="array" ref="H109">_xlfn.XLOOKUP(A109&amp;C109, Лист2!$A$2:$A$505&amp;Лист2!$B$2:$B$505, Лист2!$E$2:$E$505)</f>
        <v>1803</v>
      </c>
      <c r="I109" s="16">
        <f t="shared" si="3"/>
        <v>1592.7</v>
      </c>
    </row>
    <row r="110" spans="1:9" ht="14.25" customHeight="1" x14ac:dyDescent="0.3">
      <c r="A110" s="5">
        <v>43982</v>
      </c>
      <c r="B110">
        <f t="shared" si="2"/>
        <v>22</v>
      </c>
      <c r="C110" s="6" t="s">
        <v>13</v>
      </c>
      <c r="D110" s="6">
        <v>32359.5</v>
      </c>
      <c r="E110" s="6">
        <v>2991999</v>
      </c>
      <c r="F110" s="7" cm="1">
        <f t="array" ref="F110">_xlfn.XLOOKUP(A110&amp;C110, Лист2!$A$2:$A$505&amp;Лист2!$B$2:$B$505, Лист2!$C$2:$C$505)</f>
        <v>20</v>
      </c>
      <c r="G110" s="15" cm="1">
        <f t="array" ref="G110">_xlfn.XLOOKUP(A110&amp;C110, Лист2!$A$2:$A$505&amp;Лист2!$B$2:$B$505, Лист2!$D$2:$D$505)</f>
        <v>2060</v>
      </c>
      <c r="H110" s="18" cm="1">
        <f t="array" ref="H110">_xlfn.XLOOKUP(A110&amp;C110, Лист2!$A$2:$A$505&amp;Лист2!$B$2:$B$505, Лист2!$E$2:$E$505)</f>
        <v>1826</v>
      </c>
      <c r="I110" s="16">
        <f t="shared" si="3"/>
        <v>1617.9749999999999</v>
      </c>
    </row>
    <row r="111" spans="1:9" ht="14.25" customHeight="1" x14ac:dyDescent="0.3">
      <c r="A111" s="8">
        <v>43981</v>
      </c>
      <c r="B111">
        <f t="shared" si="2"/>
        <v>22</v>
      </c>
      <c r="C111" s="9" t="s">
        <v>13</v>
      </c>
      <c r="D111" s="9">
        <v>39867</v>
      </c>
      <c r="E111" s="9">
        <v>3654166.5</v>
      </c>
      <c r="F111" s="7" cm="1">
        <f t="array" ref="F111">_xlfn.XLOOKUP(A111&amp;C111, Лист2!$A$2:$A$505&amp;Лист2!$B$2:$B$505, Лист2!$C$2:$C$505)</f>
        <v>20</v>
      </c>
      <c r="G111" s="15" cm="1">
        <f t="array" ref="G111">_xlfn.XLOOKUP(A111&amp;C111, Лист2!$A$2:$A$505&amp;Лист2!$B$2:$B$505, Лист2!$D$2:$D$505)</f>
        <v>2451</v>
      </c>
      <c r="H111" s="18" cm="1">
        <f t="array" ref="H111">_xlfn.XLOOKUP(A111&amp;C111, Лист2!$A$2:$A$505&amp;Лист2!$B$2:$B$505, Лист2!$E$2:$E$505)</f>
        <v>2178</v>
      </c>
      <c r="I111" s="16">
        <f t="shared" si="3"/>
        <v>1993.35</v>
      </c>
    </row>
    <row r="112" spans="1:9" ht="14.25" customHeight="1" x14ac:dyDescent="0.3">
      <c r="A112" s="5">
        <v>43979</v>
      </c>
      <c r="B112">
        <f t="shared" si="2"/>
        <v>22</v>
      </c>
      <c r="C112" s="6" t="s">
        <v>13</v>
      </c>
      <c r="D112" s="6">
        <v>31974</v>
      </c>
      <c r="E112" s="6">
        <v>3004213.5</v>
      </c>
      <c r="F112" s="7" cm="1">
        <f t="array" ref="F112">_xlfn.XLOOKUP(A112&amp;C112, Лист2!$A$2:$A$505&amp;Лист2!$B$2:$B$505, Лист2!$C$2:$C$505)</f>
        <v>20</v>
      </c>
      <c r="G112" s="15" cm="1">
        <f t="array" ref="G112">_xlfn.XLOOKUP(A112&amp;C112, Лист2!$A$2:$A$505&amp;Лист2!$B$2:$B$505, Лист2!$D$2:$D$505)</f>
        <v>2088</v>
      </c>
      <c r="H112" s="18" cm="1">
        <f t="array" ref="H112">_xlfn.XLOOKUP(A112&amp;C112, Лист2!$A$2:$A$505&amp;Лист2!$B$2:$B$505, Лист2!$E$2:$E$505)</f>
        <v>1848</v>
      </c>
      <c r="I112" s="16">
        <f t="shared" si="3"/>
        <v>1598.7</v>
      </c>
    </row>
    <row r="113" spans="1:9" ht="14.25" customHeight="1" x14ac:dyDescent="0.3">
      <c r="A113" s="8">
        <v>43967</v>
      </c>
      <c r="B113">
        <f t="shared" si="2"/>
        <v>20</v>
      </c>
      <c r="C113" s="9" t="s">
        <v>14</v>
      </c>
      <c r="D113" s="9">
        <v>321412.5</v>
      </c>
      <c r="E113" s="9">
        <v>32235864</v>
      </c>
      <c r="F113" s="7" cm="1">
        <f t="array" ref="F113">_xlfn.XLOOKUP(A113&amp;C113, Лист2!$A$2:$A$505&amp;Лист2!$B$2:$B$505, Лист2!$C$2:$C$505)</f>
        <v>129</v>
      </c>
      <c r="G113" s="15" cm="1">
        <f t="array" ref="G113">_xlfn.XLOOKUP(A113&amp;C113, Лист2!$A$2:$A$505&amp;Лист2!$B$2:$B$505, Лист2!$D$2:$D$505)</f>
        <v>17914</v>
      </c>
      <c r="H113" s="18" cm="1">
        <f t="array" ref="H113">_xlfn.XLOOKUP(A113&amp;C113, Лист2!$A$2:$A$505&amp;Лист2!$B$2:$B$505, Лист2!$E$2:$E$505)</f>
        <v>16631</v>
      </c>
      <c r="I113" s="16">
        <f t="shared" si="3"/>
        <v>2491.5697674418607</v>
      </c>
    </row>
    <row r="114" spans="1:9" ht="14.25" customHeight="1" x14ac:dyDescent="0.3">
      <c r="A114" s="5">
        <v>43970</v>
      </c>
      <c r="B114">
        <f t="shared" si="2"/>
        <v>21</v>
      </c>
      <c r="C114" s="6" t="s">
        <v>14</v>
      </c>
      <c r="D114" s="6">
        <v>276568.5</v>
      </c>
      <c r="E114" s="6">
        <v>27093624</v>
      </c>
      <c r="F114" s="7" cm="1">
        <f t="array" ref="F114">_xlfn.XLOOKUP(A114&amp;C114, Лист2!$A$2:$A$505&amp;Лист2!$B$2:$B$505, Лист2!$C$2:$C$505)</f>
        <v>129</v>
      </c>
      <c r="G114" s="15" cm="1">
        <f t="array" ref="G114">_xlfn.XLOOKUP(A114&amp;C114, Лист2!$A$2:$A$505&amp;Лист2!$B$2:$B$505, Лист2!$D$2:$D$505)</f>
        <v>16191</v>
      </c>
      <c r="H114" s="18" cm="1">
        <f t="array" ref="H114">_xlfn.XLOOKUP(A114&amp;C114, Лист2!$A$2:$A$505&amp;Лист2!$B$2:$B$505, Лист2!$E$2:$E$505)</f>
        <v>15102</v>
      </c>
      <c r="I114" s="16">
        <f t="shared" si="3"/>
        <v>2143.9418604651164</v>
      </c>
    </row>
    <row r="115" spans="1:9" ht="14.25" customHeight="1" x14ac:dyDescent="0.3">
      <c r="A115" s="8">
        <v>43968</v>
      </c>
      <c r="B115">
        <f t="shared" si="2"/>
        <v>20</v>
      </c>
      <c r="C115" s="9" t="s">
        <v>14</v>
      </c>
      <c r="D115" s="9">
        <v>269029.5</v>
      </c>
      <c r="E115" s="9">
        <v>26659930.5</v>
      </c>
      <c r="F115" s="7" cm="1">
        <f t="array" ref="F115">_xlfn.XLOOKUP(A115&amp;C115, Лист2!$A$2:$A$505&amp;Лист2!$B$2:$B$505, Лист2!$C$2:$C$505)</f>
        <v>129</v>
      </c>
      <c r="G115" s="15" cm="1">
        <f t="array" ref="G115">_xlfn.XLOOKUP(A115&amp;C115, Лист2!$A$2:$A$505&amp;Лист2!$B$2:$B$505, Лист2!$D$2:$D$505)</f>
        <v>15744</v>
      </c>
      <c r="H115" s="18" cm="1">
        <f t="array" ref="H115">_xlfn.XLOOKUP(A115&amp;C115, Лист2!$A$2:$A$505&amp;Лист2!$B$2:$B$505, Лист2!$E$2:$E$505)</f>
        <v>14685</v>
      </c>
      <c r="I115" s="16">
        <f t="shared" si="3"/>
        <v>2085.5</v>
      </c>
    </row>
    <row r="116" spans="1:9" ht="14.25" customHeight="1" x14ac:dyDescent="0.3">
      <c r="A116" s="5">
        <v>43960</v>
      </c>
      <c r="B116">
        <f t="shared" si="2"/>
        <v>19</v>
      </c>
      <c r="C116" s="6" t="s">
        <v>14</v>
      </c>
      <c r="D116" s="6">
        <v>285972</v>
      </c>
      <c r="E116" s="6">
        <v>29768199</v>
      </c>
      <c r="F116" s="7" cm="1">
        <f t="array" ref="F116">_xlfn.XLOOKUP(A116&amp;C116, Лист2!$A$2:$A$505&amp;Лист2!$B$2:$B$505, Лист2!$C$2:$C$505)</f>
        <v>129</v>
      </c>
      <c r="G116" s="15" cm="1">
        <f t="array" ref="G116">_xlfn.XLOOKUP(A116&amp;C116, Лист2!$A$2:$A$505&amp;Лист2!$B$2:$B$505, Лист2!$D$2:$D$505)</f>
        <v>16420</v>
      </c>
      <c r="H116" s="18" cm="1">
        <f t="array" ref="H116">_xlfn.XLOOKUP(A116&amp;C116, Лист2!$A$2:$A$505&amp;Лист2!$B$2:$B$505, Лист2!$E$2:$E$505)</f>
        <v>15169</v>
      </c>
      <c r="I116" s="16">
        <f t="shared" si="3"/>
        <v>2216.8372093023254</v>
      </c>
    </row>
    <row r="117" spans="1:9" ht="14.25" customHeight="1" x14ac:dyDescent="0.3">
      <c r="A117" s="8">
        <v>43955</v>
      </c>
      <c r="B117">
        <f t="shared" si="2"/>
        <v>19</v>
      </c>
      <c r="C117" s="9" t="s">
        <v>14</v>
      </c>
      <c r="D117" s="9">
        <v>283942.5</v>
      </c>
      <c r="E117" s="9">
        <v>29357940</v>
      </c>
      <c r="F117" s="7" cm="1">
        <f t="array" ref="F117">_xlfn.XLOOKUP(A117&amp;C117, Лист2!$A$2:$A$505&amp;Лист2!$B$2:$B$505, Лист2!$C$2:$C$505)</f>
        <v>129</v>
      </c>
      <c r="G117" s="15" cm="1">
        <f t="array" ref="G117">_xlfn.XLOOKUP(A117&amp;C117, Лист2!$A$2:$A$505&amp;Лист2!$B$2:$B$505, Лист2!$D$2:$D$505)</f>
        <v>16525</v>
      </c>
      <c r="H117" s="18" cm="1">
        <f t="array" ref="H117">_xlfn.XLOOKUP(A117&amp;C117, Лист2!$A$2:$A$505&amp;Лист2!$B$2:$B$505, Лист2!$E$2:$E$505)</f>
        <v>15310</v>
      </c>
      <c r="I117" s="16">
        <f t="shared" si="3"/>
        <v>2201.1046511627906</v>
      </c>
    </row>
    <row r="118" spans="1:9" ht="14.25" customHeight="1" x14ac:dyDescent="0.3">
      <c r="A118" s="5">
        <v>43950</v>
      </c>
      <c r="B118">
        <f t="shared" si="2"/>
        <v>18</v>
      </c>
      <c r="C118" s="6" t="s">
        <v>14</v>
      </c>
      <c r="D118" s="6">
        <v>298059</v>
      </c>
      <c r="E118" s="6">
        <v>30869287.5</v>
      </c>
      <c r="F118" s="7" cm="1">
        <f t="array" ref="F118">_xlfn.XLOOKUP(A118&amp;C118, Лист2!$A$2:$A$505&amp;Лист2!$B$2:$B$505, Лист2!$C$2:$C$505)</f>
        <v>128</v>
      </c>
      <c r="G118" s="15" cm="1">
        <f t="array" ref="G118">_xlfn.XLOOKUP(A118&amp;C118, Лист2!$A$2:$A$505&amp;Лист2!$B$2:$B$505, Лист2!$D$2:$D$505)</f>
        <v>17368</v>
      </c>
      <c r="H118" s="18" cm="1">
        <f t="array" ref="H118">_xlfn.XLOOKUP(A118&amp;C118, Лист2!$A$2:$A$505&amp;Лист2!$B$2:$B$505, Лист2!$E$2:$E$505)</f>
        <v>16077</v>
      </c>
      <c r="I118" s="16">
        <f t="shared" si="3"/>
        <v>2328.5859375</v>
      </c>
    </row>
    <row r="119" spans="1:9" ht="14.25" customHeight="1" x14ac:dyDescent="0.3">
      <c r="A119" s="8">
        <v>43953</v>
      </c>
      <c r="B119">
        <f t="shared" si="2"/>
        <v>18</v>
      </c>
      <c r="C119" s="9" t="s">
        <v>14</v>
      </c>
      <c r="D119" s="9">
        <v>232903.5</v>
      </c>
      <c r="E119" s="9">
        <v>24342016.5</v>
      </c>
      <c r="F119" s="7" cm="1">
        <f t="array" ref="F119">_xlfn.XLOOKUP(A119&amp;C119, Лист2!$A$2:$A$505&amp;Лист2!$B$2:$B$505, Лист2!$C$2:$C$505)</f>
        <v>129</v>
      </c>
      <c r="G119" s="15" cm="1">
        <f t="array" ref="G119">_xlfn.XLOOKUP(A119&amp;C119, Лист2!$A$2:$A$505&amp;Лист2!$B$2:$B$505, Лист2!$D$2:$D$505)</f>
        <v>14009</v>
      </c>
      <c r="H119" s="18" cm="1">
        <f t="array" ref="H119">_xlfn.XLOOKUP(A119&amp;C119, Лист2!$A$2:$A$505&amp;Лист2!$B$2:$B$505, Лист2!$E$2:$E$505)</f>
        <v>12920</v>
      </c>
      <c r="I119" s="16">
        <f t="shared" si="3"/>
        <v>1805.453488372093</v>
      </c>
    </row>
    <row r="120" spans="1:9" ht="14.25" customHeight="1" x14ac:dyDescent="0.3">
      <c r="A120" s="5">
        <v>43977</v>
      </c>
      <c r="B120">
        <f t="shared" si="2"/>
        <v>22</v>
      </c>
      <c r="C120" s="6" t="s">
        <v>14</v>
      </c>
      <c r="D120" s="6">
        <v>276966</v>
      </c>
      <c r="E120" s="6">
        <v>27872617.898850001</v>
      </c>
      <c r="F120" s="7" cm="1">
        <f t="array" ref="F120">_xlfn.XLOOKUP(A120&amp;C120, Лист2!$A$2:$A$505&amp;Лист2!$B$2:$B$505, Лист2!$C$2:$C$505)</f>
        <v>129</v>
      </c>
      <c r="G120" s="15" cm="1">
        <f t="array" ref="G120">_xlfn.XLOOKUP(A120&amp;C120, Лист2!$A$2:$A$505&amp;Лист2!$B$2:$B$505, Лист2!$D$2:$D$505)</f>
        <v>16459</v>
      </c>
      <c r="H120" s="18" cm="1">
        <f t="array" ref="H120">_xlfn.XLOOKUP(A120&amp;C120, Лист2!$A$2:$A$505&amp;Лист2!$B$2:$B$505, Лист2!$E$2:$E$505)</f>
        <v>15355</v>
      </c>
      <c r="I120" s="16">
        <f t="shared" si="3"/>
        <v>2147.0232558139537</v>
      </c>
    </row>
    <row r="121" spans="1:9" ht="14.25" customHeight="1" x14ac:dyDescent="0.3">
      <c r="A121" s="8">
        <v>43952</v>
      </c>
      <c r="B121">
        <f t="shared" si="2"/>
        <v>18</v>
      </c>
      <c r="C121" s="9" t="s">
        <v>14</v>
      </c>
      <c r="D121" s="9">
        <v>296149.5</v>
      </c>
      <c r="E121" s="9">
        <v>31053316.5</v>
      </c>
      <c r="F121" s="7" cm="1">
        <f t="array" ref="F121">_xlfn.XLOOKUP(A121&amp;C121, Лист2!$A$2:$A$505&amp;Лист2!$B$2:$B$505, Лист2!$C$2:$C$505)</f>
        <v>129</v>
      </c>
      <c r="G121" s="15" cm="1">
        <f t="array" ref="G121">_xlfn.XLOOKUP(A121&amp;C121, Лист2!$A$2:$A$505&amp;Лист2!$B$2:$B$505, Лист2!$D$2:$D$505)</f>
        <v>17002</v>
      </c>
      <c r="H121" s="18" cm="1">
        <f t="array" ref="H121">_xlfn.XLOOKUP(A121&amp;C121, Лист2!$A$2:$A$505&amp;Лист2!$B$2:$B$505, Лист2!$E$2:$E$505)</f>
        <v>15570</v>
      </c>
      <c r="I121" s="16">
        <f t="shared" si="3"/>
        <v>2295.7325581395348</v>
      </c>
    </row>
    <row r="122" spans="1:9" ht="14.25" customHeight="1" x14ac:dyDescent="0.3">
      <c r="A122" s="5">
        <v>43963</v>
      </c>
      <c r="B122">
        <f t="shared" si="2"/>
        <v>20</v>
      </c>
      <c r="C122" s="6" t="s">
        <v>14</v>
      </c>
      <c r="D122" s="6">
        <v>281796</v>
      </c>
      <c r="E122" s="6">
        <v>29042520</v>
      </c>
      <c r="F122" s="7" cm="1">
        <f t="array" ref="F122">_xlfn.XLOOKUP(A122&amp;C122, Лист2!$A$2:$A$505&amp;Лист2!$B$2:$B$505, Лист2!$C$2:$C$505)</f>
        <v>129</v>
      </c>
      <c r="G122" s="15" cm="1">
        <f t="array" ref="G122">_xlfn.XLOOKUP(A122&amp;C122, Лист2!$A$2:$A$505&amp;Лист2!$B$2:$B$505, Лист2!$D$2:$D$505)</f>
        <v>16387</v>
      </c>
      <c r="H122" s="18" cm="1">
        <f t="array" ref="H122">_xlfn.XLOOKUP(A122&amp;C122, Лист2!$A$2:$A$505&amp;Лист2!$B$2:$B$505, Лист2!$E$2:$E$505)</f>
        <v>15322</v>
      </c>
      <c r="I122" s="16">
        <f t="shared" si="3"/>
        <v>2184.4651162790697</v>
      </c>
    </row>
    <row r="123" spans="1:9" ht="14.25" customHeight="1" x14ac:dyDescent="0.3">
      <c r="A123" s="8">
        <v>43972</v>
      </c>
      <c r="B123">
        <f t="shared" si="2"/>
        <v>21</v>
      </c>
      <c r="C123" s="9" t="s">
        <v>14</v>
      </c>
      <c r="D123" s="9">
        <v>288936</v>
      </c>
      <c r="E123" s="9">
        <v>27852900</v>
      </c>
      <c r="F123" s="7" cm="1">
        <f t="array" ref="F123">_xlfn.XLOOKUP(A123&amp;C123, Лист2!$A$2:$A$505&amp;Лист2!$B$2:$B$505, Лист2!$C$2:$C$505)</f>
        <v>129</v>
      </c>
      <c r="G123" s="15" cm="1">
        <f t="array" ref="G123">_xlfn.XLOOKUP(A123&amp;C123, Лист2!$A$2:$A$505&amp;Лист2!$B$2:$B$505, Лист2!$D$2:$D$505)</f>
        <v>16373</v>
      </c>
      <c r="H123" s="18" cm="1">
        <f t="array" ref="H123">_xlfn.XLOOKUP(A123&amp;C123, Лист2!$A$2:$A$505&amp;Лист2!$B$2:$B$505, Лист2!$E$2:$E$505)</f>
        <v>15223</v>
      </c>
      <c r="I123" s="16">
        <f t="shared" si="3"/>
        <v>2239.8139534883721</v>
      </c>
    </row>
    <row r="124" spans="1:9" ht="14.25" customHeight="1" x14ac:dyDescent="0.3">
      <c r="A124" s="5">
        <v>43971</v>
      </c>
      <c r="B124">
        <f t="shared" si="2"/>
        <v>21</v>
      </c>
      <c r="C124" s="6" t="s">
        <v>14</v>
      </c>
      <c r="D124" s="6">
        <v>300151.5</v>
      </c>
      <c r="E124" s="6">
        <v>29368771.617449999</v>
      </c>
      <c r="F124" s="7" cm="1">
        <f t="array" ref="F124">_xlfn.XLOOKUP(A124&amp;C124, Лист2!$A$2:$A$505&amp;Лист2!$B$2:$B$505, Лист2!$C$2:$C$505)</f>
        <v>129</v>
      </c>
      <c r="G124" s="15" cm="1">
        <f t="array" ref="G124">_xlfn.XLOOKUP(A124&amp;C124, Лист2!$A$2:$A$505&amp;Лист2!$B$2:$B$505, Лист2!$D$2:$D$505)</f>
        <v>17095</v>
      </c>
      <c r="H124" s="18" cm="1">
        <f t="array" ref="H124">_xlfn.XLOOKUP(A124&amp;C124, Лист2!$A$2:$A$505&amp;Лист2!$B$2:$B$505, Лист2!$E$2:$E$505)</f>
        <v>15919</v>
      </c>
      <c r="I124" s="16">
        <f t="shared" si="3"/>
        <v>2326.7558139534885</v>
      </c>
    </row>
    <row r="125" spans="1:9" ht="14.25" customHeight="1" x14ac:dyDescent="0.3">
      <c r="A125" s="8">
        <v>43956</v>
      </c>
      <c r="B125">
        <f t="shared" si="2"/>
        <v>19</v>
      </c>
      <c r="C125" s="9" t="s">
        <v>14</v>
      </c>
      <c r="D125" s="9">
        <v>262734</v>
      </c>
      <c r="E125" s="9">
        <v>27278441.145</v>
      </c>
      <c r="F125" s="7" cm="1">
        <f t="array" ref="F125">_xlfn.XLOOKUP(A125&amp;C125, Лист2!$A$2:$A$505&amp;Лист2!$B$2:$B$505, Лист2!$C$2:$C$505)</f>
        <v>129</v>
      </c>
      <c r="G125" s="15" cm="1">
        <f t="array" ref="G125">_xlfn.XLOOKUP(A125&amp;C125, Лист2!$A$2:$A$505&amp;Лист2!$B$2:$B$505, Лист2!$D$2:$D$505)</f>
        <v>15665</v>
      </c>
      <c r="H125" s="18" cm="1">
        <f t="array" ref="H125">_xlfn.XLOOKUP(A125&amp;C125, Лист2!$A$2:$A$505&amp;Лист2!$B$2:$B$505, Лист2!$E$2:$E$505)</f>
        <v>14501</v>
      </c>
      <c r="I125" s="16">
        <f t="shared" si="3"/>
        <v>2036.6976744186047</v>
      </c>
    </row>
    <row r="126" spans="1:9" ht="14.25" customHeight="1" x14ac:dyDescent="0.3">
      <c r="A126" s="5">
        <v>43949</v>
      </c>
      <c r="B126">
        <f t="shared" si="2"/>
        <v>18</v>
      </c>
      <c r="C126" s="6" t="s">
        <v>14</v>
      </c>
      <c r="D126" s="6">
        <v>286002</v>
      </c>
      <c r="E126" s="6">
        <v>29159032.5</v>
      </c>
      <c r="F126" s="7" cm="1">
        <f t="array" ref="F126">_xlfn.XLOOKUP(A126&amp;C126, Лист2!$A$2:$A$505&amp;Лист2!$B$2:$B$505, Лист2!$C$2:$C$505)</f>
        <v>128</v>
      </c>
      <c r="G126" s="15" cm="1">
        <f t="array" ref="G126">_xlfn.XLOOKUP(A126&amp;C126, Лист2!$A$2:$A$505&amp;Лист2!$B$2:$B$505, Лист2!$D$2:$D$505)</f>
        <v>16450</v>
      </c>
      <c r="H126" s="18" cm="1">
        <f t="array" ref="H126">_xlfn.XLOOKUP(A126&amp;C126, Лист2!$A$2:$A$505&amp;Лист2!$B$2:$B$505, Лист2!$E$2:$E$505)</f>
        <v>15320</v>
      </c>
      <c r="I126" s="16">
        <f t="shared" si="3"/>
        <v>2234.390625</v>
      </c>
    </row>
    <row r="127" spans="1:9" ht="14.25" customHeight="1" x14ac:dyDescent="0.3">
      <c r="A127" s="8">
        <v>43964</v>
      </c>
      <c r="B127">
        <f t="shared" si="2"/>
        <v>20</v>
      </c>
      <c r="C127" s="9" t="s">
        <v>14</v>
      </c>
      <c r="D127" s="9">
        <v>258459</v>
      </c>
      <c r="E127" s="9">
        <v>26467453.5</v>
      </c>
      <c r="F127" s="7" cm="1">
        <f t="array" ref="F127">_xlfn.XLOOKUP(A127&amp;C127, Лист2!$A$2:$A$505&amp;Лист2!$B$2:$B$505, Лист2!$C$2:$C$505)</f>
        <v>129</v>
      </c>
      <c r="G127" s="15" cm="1">
        <f t="array" ref="G127">_xlfn.XLOOKUP(A127&amp;C127, Лист2!$A$2:$A$505&amp;Лист2!$B$2:$B$505, Лист2!$D$2:$D$505)</f>
        <v>15304</v>
      </c>
      <c r="H127" s="18" cm="1">
        <f t="array" ref="H127">_xlfn.XLOOKUP(A127&amp;C127, Лист2!$A$2:$A$505&amp;Лист2!$B$2:$B$505, Лист2!$E$2:$E$505)</f>
        <v>14315</v>
      </c>
      <c r="I127" s="16">
        <f t="shared" si="3"/>
        <v>2003.5581395348838</v>
      </c>
    </row>
    <row r="128" spans="1:9" ht="14.25" customHeight="1" x14ac:dyDescent="0.3">
      <c r="A128" s="5">
        <v>43954</v>
      </c>
      <c r="B128">
        <f t="shared" si="2"/>
        <v>18</v>
      </c>
      <c r="C128" s="6" t="s">
        <v>14</v>
      </c>
      <c r="D128" s="6">
        <v>274083</v>
      </c>
      <c r="E128" s="6">
        <v>28427001</v>
      </c>
      <c r="F128" s="7" cm="1">
        <f t="array" ref="F128">_xlfn.XLOOKUP(A128&amp;C128, Лист2!$A$2:$A$505&amp;Лист2!$B$2:$B$505, Лист2!$C$2:$C$505)</f>
        <v>129</v>
      </c>
      <c r="G128" s="15" cm="1">
        <f t="array" ref="G128">_xlfn.XLOOKUP(A128&amp;C128, Лист2!$A$2:$A$505&amp;Лист2!$B$2:$B$505, Лист2!$D$2:$D$505)</f>
        <v>15778</v>
      </c>
      <c r="H128" s="18" cm="1">
        <f t="array" ref="H128">_xlfn.XLOOKUP(A128&amp;C128, Лист2!$A$2:$A$505&amp;Лист2!$B$2:$B$505, Лист2!$E$2:$E$505)</f>
        <v>14624</v>
      </c>
      <c r="I128" s="16">
        <f t="shared" si="3"/>
        <v>2124.6744186046512</v>
      </c>
    </row>
    <row r="129" spans="1:9" ht="14.25" customHeight="1" x14ac:dyDescent="0.3">
      <c r="A129" s="8">
        <v>43957</v>
      </c>
      <c r="B129">
        <f t="shared" si="2"/>
        <v>19</v>
      </c>
      <c r="C129" s="9" t="s">
        <v>14</v>
      </c>
      <c r="D129" s="9">
        <v>277512</v>
      </c>
      <c r="E129" s="9">
        <v>28770810.105599999</v>
      </c>
      <c r="F129" s="7" cm="1">
        <f t="array" ref="F129">_xlfn.XLOOKUP(A129&amp;C129, Лист2!$A$2:$A$505&amp;Лист2!$B$2:$B$505, Лист2!$C$2:$C$505)</f>
        <v>129</v>
      </c>
      <c r="G129" s="15" cm="1">
        <f t="array" ref="G129">_xlfn.XLOOKUP(A129&amp;C129, Лист2!$A$2:$A$505&amp;Лист2!$B$2:$B$505, Лист2!$D$2:$D$505)</f>
        <v>16376</v>
      </c>
      <c r="H129" s="18" cm="1">
        <f t="array" ref="H129">_xlfn.XLOOKUP(A129&amp;C129, Лист2!$A$2:$A$505&amp;Лист2!$B$2:$B$505, Лист2!$E$2:$E$505)</f>
        <v>15197</v>
      </c>
      <c r="I129" s="16">
        <f t="shared" si="3"/>
        <v>2151.2558139534885</v>
      </c>
    </row>
    <row r="130" spans="1:9" ht="14.25" customHeight="1" x14ac:dyDescent="0.3">
      <c r="A130" s="5">
        <v>43974</v>
      </c>
      <c r="B130">
        <f t="shared" si="2"/>
        <v>21</v>
      </c>
      <c r="C130" s="6" t="s">
        <v>14</v>
      </c>
      <c r="D130" s="6">
        <v>356982</v>
      </c>
      <c r="E130" s="6">
        <v>35103926.711549997</v>
      </c>
      <c r="F130" s="7" cm="1">
        <f t="array" ref="F130">_xlfn.XLOOKUP(A130&amp;C130, Лист2!$A$2:$A$505&amp;Лист2!$B$2:$B$505, Лист2!$C$2:$C$505)</f>
        <v>129</v>
      </c>
      <c r="G130" s="15" cm="1">
        <f t="array" ref="G130">_xlfn.XLOOKUP(A130&amp;C130, Лист2!$A$2:$A$505&amp;Лист2!$B$2:$B$505, Лист2!$D$2:$D$505)</f>
        <v>19856</v>
      </c>
      <c r="H130" s="18" cm="1">
        <f t="array" ref="H130">_xlfn.XLOOKUP(A130&amp;C130, Лист2!$A$2:$A$505&amp;Лист2!$B$2:$B$505, Лист2!$E$2:$E$505)</f>
        <v>18325</v>
      </c>
      <c r="I130" s="16">
        <f t="shared" si="3"/>
        <v>2767.3023255813955</v>
      </c>
    </row>
    <row r="131" spans="1:9" ht="14.25" customHeight="1" x14ac:dyDescent="0.3">
      <c r="A131" s="8">
        <v>43976</v>
      </c>
      <c r="B131">
        <f t="shared" ref="B131:B194" si="4">WEEKNUM(A131, 2)</f>
        <v>22</v>
      </c>
      <c r="C131" s="9" t="s">
        <v>14</v>
      </c>
      <c r="D131" s="9">
        <v>266983.5</v>
      </c>
      <c r="E131" s="9">
        <v>27165913.5</v>
      </c>
      <c r="F131" s="7" cm="1">
        <f t="array" ref="F131">_xlfn.XLOOKUP(A131&amp;C131, Лист2!$A$2:$A$505&amp;Лист2!$B$2:$B$505, Лист2!$C$2:$C$505)</f>
        <v>129</v>
      </c>
      <c r="G131" s="15" cm="1">
        <f t="array" ref="G131">_xlfn.XLOOKUP(A131&amp;C131, Лист2!$A$2:$A$505&amp;Лист2!$B$2:$B$505, Лист2!$D$2:$D$505)</f>
        <v>15822</v>
      </c>
      <c r="H131" s="18" cm="1">
        <f t="array" ref="H131">_xlfn.XLOOKUP(A131&amp;C131, Лист2!$A$2:$A$505&amp;Лист2!$B$2:$B$505, Лист2!$E$2:$E$505)</f>
        <v>14753</v>
      </c>
      <c r="I131" s="16">
        <f t="shared" ref="I131:I194" si="5">D131/F131</f>
        <v>2069.6395348837209</v>
      </c>
    </row>
    <row r="132" spans="1:9" ht="14.25" customHeight="1" x14ac:dyDescent="0.3">
      <c r="A132" s="5">
        <v>43951</v>
      </c>
      <c r="B132">
        <f t="shared" si="4"/>
        <v>18</v>
      </c>
      <c r="C132" s="6" t="s">
        <v>14</v>
      </c>
      <c r="D132" s="6">
        <v>311131.5</v>
      </c>
      <c r="E132" s="6">
        <v>32418879</v>
      </c>
      <c r="F132" s="7" cm="1">
        <f t="array" ref="F132">_xlfn.XLOOKUP(A132&amp;C132, Лист2!$A$2:$A$505&amp;Лист2!$B$2:$B$505, Лист2!$C$2:$C$505)</f>
        <v>129</v>
      </c>
      <c r="G132" s="15" cm="1">
        <f t="array" ref="G132">_xlfn.XLOOKUP(A132&amp;C132, Лист2!$A$2:$A$505&amp;Лист2!$B$2:$B$505, Лист2!$D$2:$D$505)</f>
        <v>18042</v>
      </c>
      <c r="H132" s="18" cm="1">
        <f t="array" ref="H132">_xlfn.XLOOKUP(A132&amp;C132, Лист2!$A$2:$A$505&amp;Лист2!$B$2:$B$505, Лист2!$E$2:$E$505)</f>
        <v>16631</v>
      </c>
      <c r="I132" s="16">
        <f t="shared" si="5"/>
        <v>2411.8720930232557</v>
      </c>
    </row>
    <row r="133" spans="1:9" ht="14.25" customHeight="1" x14ac:dyDescent="0.3">
      <c r="A133" s="8">
        <v>43961</v>
      </c>
      <c r="B133">
        <f t="shared" si="4"/>
        <v>19</v>
      </c>
      <c r="C133" s="9" t="s">
        <v>14</v>
      </c>
      <c r="D133" s="9">
        <v>287206.5</v>
      </c>
      <c r="E133" s="9">
        <v>29536176.10605</v>
      </c>
      <c r="F133" s="7" cm="1">
        <f t="array" ref="F133">_xlfn.XLOOKUP(A133&amp;C133, Лист2!$A$2:$A$505&amp;Лист2!$B$2:$B$505, Лист2!$C$2:$C$505)</f>
        <v>129</v>
      </c>
      <c r="G133" s="15" cm="1">
        <f t="array" ref="G133">_xlfn.XLOOKUP(A133&amp;C133, Лист2!$A$2:$A$505&amp;Лист2!$B$2:$B$505, Лист2!$D$2:$D$505)</f>
        <v>16437</v>
      </c>
      <c r="H133" s="18" cm="1">
        <f t="array" ref="H133">_xlfn.XLOOKUP(A133&amp;C133, Лист2!$A$2:$A$505&amp;Лист2!$B$2:$B$505, Лист2!$E$2:$E$505)</f>
        <v>15285</v>
      </c>
      <c r="I133" s="16">
        <f t="shared" si="5"/>
        <v>2226.4069767441861</v>
      </c>
    </row>
    <row r="134" spans="1:9" ht="14.25" customHeight="1" x14ac:dyDescent="0.3">
      <c r="A134" s="5">
        <v>43959</v>
      </c>
      <c r="B134">
        <f t="shared" si="4"/>
        <v>19</v>
      </c>
      <c r="C134" s="6" t="s">
        <v>14</v>
      </c>
      <c r="D134" s="6">
        <v>370092</v>
      </c>
      <c r="E134" s="6">
        <v>38091556.5</v>
      </c>
      <c r="F134" s="7" cm="1">
        <f t="array" ref="F134">_xlfn.XLOOKUP(A134&amp;C134, Лист2!$A$2:$A$505&amp;Лист2!$B$2:$B$505, Лист2!$C$2:$C$505)</f>
        <v>129</v>
      </c>
      <c r="G134" s="15" cm="1">
        <f t="array" ref="G134">_xlfn.XLOOKUP(A134&amp;C134, Лист2!$A$2:$A$505&amp;Лист2!$B$2:$B$505, Лист2!$D$2:$D$505)</f>
        <v>20452</v>
      </c>
      <c r="H134" s="18" cm="1">
        <f t="array" ref="H134">_xlfn.XLOOKUP(A134&amp;C134, Лист2!$A$2:$A$505&amp;Лист2!$B$2:$B$505, Лист2!$E$2:$E$505)</f>
        <v>18857</v>
      </c>
      <c r="I134" s="16">
        <f t="shared" si="5"/>
        <v>2868.9302325581393</v>
      </c>
    </row>
    <row r="135" spans="1:9" ht="14.25" customHeight="1" x14ac:dyDescent="0.3">
      <c r="A135" s="8">
        <v>43958</v>
      </c>
      <c r="B135">
        <f t="shared" si="4"/>
        <v>19</v>
      </c>
      <c r="C135" s="9" t="s">
        <v>14</v>
      </c>
      <c r="D135" s="9">
        <v>247813.5</v>
      </c>
      <c r="E135" s="9">
        <v>25325271</v>
      </c>
      <c r="F135" s="7" cm="1">
        <f t="array" ref="F135">_xlfn.XLOOKUP(A135&amp;C135, Лист2!$A$2:$A$505&amp;Лист2!$B$2:$B$505, Лист2!$C$2:$C$505)</f>
        <v>129</v>
      </c>
      <c r="G135" s="15" cm="1">
        <f t="array" ref="G135">_xlfn.XLOOKUP(A135&amp;C135, Лист2!$A$2:$A$505&amp;Лист2!$B$2:$B$505, Лист2!$D$2:$D$505)</f>
        <v>14582</v>
      </c>
      <c r="H135" s="18" cm="1">
        <f t="array" ref="H135">_xlfn.XLOOKUP(A135&amp;C135, Лист2!$A$2:$A$505&amp;Лист2!$B$2:$B$505, Лист2!$E$2:$E$505)</f>
        <v>13512</v>
      </c>
      <c r="I135" s="16">
        <f t="shared" si="5"/>
        <v>1921.0348837209303</v>
      </c>
    </row>
    <row r="136" spans="1:9" ht="14.25" customHeight="1" x14ac:dyDescent="0.3">
      <c r="A136" s="5">
        <v>43975</v>
      </c>
      <c r="B136">
        <f t="shared" si="4"/>
        <v>21</v>
      </c>
      <c r="C136" s="6" t="s">
        <v>14</v>
      </c>
      <c r="D136" s="6">
        <v>287740.5</v>
      </c>
      <c r="E136" s="6">
        <v>28188534</v>
      </c>
      <c r="F136" s="7" cm="1">
        <f t="array" ref="F136">_xlfn.XLOOKUP(A136&amp;C136, Лист2!$A$2:$A$505&amp;Лист2!$B$2:$B$505, Лист2!$C$2:$C$505)</f>
        <v>129</v>
      </c>
      <c r="G136" s="15" cm="1">
        <f t="array" ref="G136">_xlfn.XLOOKUP(A136&amp;C136, Лист2!$A$2:$A$505&amp;Лист2!$B$2:$B$505, Лист2!$D$2:$D$505)</f>
        <v>16432</v>
      </c>
      <c r="H136" s="18" cm="1">
        <f t="array" ref="H136">_xlfn.XLOOKUP(A136&amp;C136, Лист2!$A$2:$A$505&amp;Лист2!$B$2:$B$505, Лист2!$E$2:$E$505)</f>
        <v>15345</v>
      </c>
      <c r="I136" s="16">
        <f t="shared" si="5"/>
        <v>2230.546511627907</v>
      </c>
    </row>
    <row r="137" spans="1:9" ht="14.25" customHeight="1" x14ac:dyDescent="0.3">
      <c r="A137" s="8">
        <v>43967</v>
      </c>
      <c r="B137">
        <f t="shared" si="4"/>
        <v>20</v>
      </c>
      <c r="C137" s="9" t="s">
        <v>15</v>
      </c>
      <c r="D137" s="9">
        <v>408810</v>
      </c>
      <c r="E137" s="9">
        <v>42323631</v>
      </c>
      <c r="F137" s="7" cm="1">
        <f t="array" ref="F137">_xlfn.XLOOKUP(A137&amp;C137, Лист2!$A$2:$A$505&amp;Лист2!$B$2:$B$505, Лист2!$C$2:$C$505)</f>
        <v>125</v>
      </c>
      <c r="G137" s="15" cm="1">
        <f t="array" ref="G137">_xlfn.XLOOKUP(A137&amp;C137, Лист2!$A$2:$A$505&amp;Лист2!$B$2:$B$505, Лист2!$D$2:$D$505)</f>
        <v>22291</v>
      </c>
      <c r="H137" s="18" cm="1">
        <f t="array" ref="H137">_xlfn.XLOOKUP(A137&amp;C137, Лист2!$A$2:$A$505&amp;Лист2!$B$2:$B$505, Лист2!$E$2:$E$505)</f>
        <v>20635</v>
      </c>
      <c r="I137" s="16">
        <f t="shared" si="5"/>
        <v>3270.48</v>
      </c>
    </row>
    <row r="138" spans="1:9" ht="14.25" customHeight="1" x14ac:dyDescent="0.3">
      <c r="A138" s="5">
        <v>43970</v>
      </c>
      <c r="B138">
        <f t="shared" si="4"/>
        <v>21</v>
      </c>
      <c r="C138" s="6" t="s">
        <v>15</v>
      </c>
      <c r="D138" s="6">
        <v>362536.5</v>
      </c>
      <c r="E138" s="6">
        <v>37023243</v>
      </c>
      <c r="F138" s="7" cm="1">
        <f t="array" ref="F138">_xlfn.XLOOKUP(A138&amp;C138, Лист2!$A$2:$A$505&amp;Лист2!$B$2:$B$505, Лист2!$C$2:$C$505)</f>
        <v>125</v>
      </c>
      <c r="G138" s="15" cm="1">
        <f t="array" ref="G138">_xlfn.XLOOKUP(A138&amp;C138, Лист2!$A$2:$A$505&amp;Лист2!$B$2:$B$505, Лист2!$D$2:$D$505)</f>
        <v>20771</v>
      </c>
      <c r="H138" s="18" cm="1">
        <f t="array" ref="H138">_xlfn.XLOOKUP(A138&amp;C138, Лист2!$A$2:$A$505&amp;Лист2!$B$2:$B$505, Лист2!$E$2:$E$505)</f>
        <v>19338</v>
      </c>
      <c r="I138" s="16">
        <f t="shared" si="5"/>
        <v>2900.2919999999999</v>
      </c>
    </row>
    <row r="139" spans="1:9" ht="14.25" customHeight="1" x14ac:dyDescent="0.3">
      <c r="A139" s="8">
        <v>43968</v>
      </c>
      <c r="B139">
        <f t="shared" si="4"/>
        <v>20</v>
      </c>
      <c r="C139" s="9" t="s">
        <v>15</v>
      </c>
      <c r="D139" s="9">
        <v>357072</v>
      </c>
      <c r="E139" s="9">
        <v>36834567</v>
      </c>
      <c r="F139" s="7" cm="1">
        <f t="array" ref="F139">_xlfn.XLOOKUP(A139&amp;C139, Лист2!$A$2:$A$505&amp;Лист2!$B$2:$B$505, Лист2!$C$2:$C$505)</f>
        <v>125</v>
      </c>
      <c r="G139" s="15" cm="1">
        <f t="array" ref="G139">_xlfn.XLOOKUP(A139&amp;C139, Лист2!$A$2:$A$505&amp;Лист2!$B$2:$B$505, Лист2!$D$2:$D$505)</f>
        <v>20079</v>
      </c>
      <c r="H139" s="18" cm="1">
        <f t="array" ref="H139">_xlfn.XLOOKUP(A139&amp;C139, Лист2!$A$2:$A$505&amp;Лист2!$B$2:$B$505, Лист2!$E$2:$E$505)</f>
        <v>18721</v>
      </c>
      <c r="I139" s="16">
        <f t="shared" si="5"/>
        <v>2856.576</v>
      </c>
    </row>
    <row r="140" spans="1:9" ht="14.25" customHeight="1" x14ac:dyDescent="0.3">
      <c r="A140" s="5">
        <v>43960</v>
      </c>
      <c r="B140">
        <f t="shared" si="4"/>
        <v>19</v>
      </c>
      <c r="C140" s="6" t="s">
        <v>15</v>
      </c>
      <c r="D140" s="6">
        <v>359214</v>
      </c>
      <c r="E140" s="6">
        <v>38693427</v>
      </c>
      <c r="F140" s="7" cm="1">
        <f t="array" ref="F140">_xlfn.XLOOKUP(A140&amp;C140, Лист2!$A$2:$A$505&amp;Лист2!$B$2:$B$505, Лист2!$C$2:$C$505)</f>
        <v>125</v>
      </c>
      <c r="G140" s="15" cm="1">
        <f t="array" ref="G140">_xlfn.XLOOKUP(A140&amp;C140, Лист2!$A$2:$A$505&amp;Лист2!$B$2:$B$505, Лист2!$D$2:$D$505)</f>
        <v>20132</v>
      </c>
      <c r="H140" s="18" cm="1">
        <f t="array" ref="H140">_xlfn.XLOOKUP(A140&amp;C140, Лист2!$A$2:$A$505&amp;Лист2!$B$2:$B$505, Лист2!$E$2:$E$505)</f>
        <v>18617</v>
      </c>
      <c r="I140" s="16">
        <f t="shared" si="5"/>
        <v>2873.712</v>
      </c>
    </row>
    <row r="141" spans="1:9" ht="14.25" customHeight="1" x14ac:dyDescent="0.3">
      <c r="A141" s="8">
        <v>43955</v>
      </c>
      <c r="B141">
        <f t="shared" si="4"/>
        <v>19</v>
      </c>
      <c r="C141" s="9" t="s">
        <v>15</v>
      </c>
      <c r="D141" s="9">
        <v>360255</v>
      </c>
      <c r="E141" s="9">
        <v>38406954</v>
      </c>
      <c r="F141" s="7" cm="1">
        <f t="array" ref="F141">_xlfn.XLOOKUP(A141&amp;C141, Лист2!$A$2:$A$505&amp;Лист2!$B$2:$B$505, Лист2!$C$2:$C$505)</f>
        <v>125</v>
      </c>
      <c r="G141" s="15" cm="1">
        <f t="array" ref="G141">_xlfn.XLOOKUP(A141&amp;C141, Лист2!$A$2:$A$505&amp;Лист2!$B$2:$B$505, Лист2!$D$2:$D$505)</f>
        <v>20495</v>
      </c>
      <c r="H141" s="18" cm="1">
        <f t="array" ref="H141">_xlfn.XLOOKUP(A141&amp;C141, Лист2!$A$2:$A$505&amp;Лист2!$B$2:$B$505, Лист2!$E$2:$E$505)</f>
        <v>18964</v>
      </c>
      <c r="I141" s="16">
        <f t="shared" si="5"/>
        <v>2882.04</v>
      </c>
    </row>
    <row r="142" spans="1:9" ht="14.25" customHeight="1" x14ac:dyDescent="0.3">
      <c r="A142" s="5">
        <v>43950</v>
      </c>
      <c r="B142">
        <f t="shared" si="4"/>
        <v>18</v>
      </c>
      <c r="C142" s="6" t="s">
        <v>15</v>
      </c>
      <c r="D142" s="6">
        <v>387220.5</v>
      </c>
      <c r="E142" s="6">
        <v>41559384</v>
      </c>
      <c r="F142" s="7" cm="1">
        <f t="array" ref="F142">_xlfn.XLOOKUP(A142&amp;C142, Лист2!$A$2:$A$505&amp;Лист2!$B$2:$B$505, Лист2!$C$2:$C$505)</f>
        <v>125</v>
      </c>
      <c r="G142" s="15" cm="1">
        <f t="array" ref="G142">_xlfn.XLOOKUP(A142&amp;C142, Лист2!$A$2:$A$505&amp;Лист2!$B$2:$B$505, Лист2!$D$2:$D$505)</f>
        <v>21863</v>
      </c>
      <c r="H142" s="18" cm="1">
        <f t="array" ref="H142">_xlfn.XLOOKUP(A142&amp;C142, Лист2!$A$2:$A$505&amp;Лист2!$B$2:$B$505, Лист2!$E$2:$E$505)</f>
        <v>20160</v>
      </c>
      <c r="I142" s="16">
        <f t="shared" si="5"/>
        <v>3097.7640000000001</v>
      </c>
    </row>
    <row r="143" spans="1:9" ht="14.25" customHeight="1" x14ac:dyDescent="0.3">
      <c r="A143" s="8">
        <v>43953</v>
      </c>
      <c r="B143">
        <f t="shared" si="4"/>
        <v>18</v>
      </c>
      <c r="C143" s="9" t="s">
        <v>15</v>
      </c>
      <c r="D143" s="9">
        <v>296580</v>
      </c>
      <c r="E143" s="9">
        <v>31843737</v>
      </c>
      <c r="F143" s="7" cm="1">
        <f t="array" ref="F143">_xlfn.XLOOKUP(A143&amp;C143, Лист2!$A$2:$A$505&amp;Лист2!$B$2:$B$505, Лист2!$C$2:$C$505)</f>
        <v>125</v>
      </c>
      <c r="G143" s="15" cm="1">
        <f t="array" ref="G143">_xlfn.XLOOKUP(A143&amp;C143, Лист2!$A$2:$A$505&amp;Лист2!$B$2:$B$505, Лист2!$D$2:$D$505)</f>
        <v>16932</v>
      </c>
      <c r="H143" s="18" cm="1">
        <f t="array" ref="H143">_xlfn.XLOOKUP(A143&amp;C143, Лист2!$A$2:$A$505&amp;Лист2!$B$2:$B$505, Лист2!$E$2:$E$505)</f>
        <v>15601</v>
      </c>
      <c r="I143" s="16">
        <f t="shared" si="5"/>
        <v>2372.64</v>
      </c>
    </row>
    <row r="144" spans="1:9" ht="14.25" customHeight="1" x14ac:dyDescent="0.3">
      <c r="A144" s="5">
        <v>43977</v>
      </c>
      <c r="B144">
        <f t="shared" si="4"/>
        <v>22</v>
      </c>
      <c r="C144" s="6" t="s">
        <v>15</v>
      </c>
      <c r="D144" s="6">
        <v>369861</v>
      </c>
      <c r="E144" s="6">
        <v>38365960.5</v>
      </c>
      <c r="F144" s="7" cm="1">
        <f t="array" ref="F144">_xlfn.XLOOKUP(A144&amp;C144, Лист2!$A$2:$A$505&amp;Лист2!$B$2:$B$505, Лист2!$C$2:$C$505)</f>
        <v>124</v>
      </c>
      <c r="G144" s="15" cm="1">
        <f t="array" ref="G144">_xlfn.XLOOKUP(A144&amp;C144, Лист2!$A$2:$A$505&amp;Лист2!$B$2:$B$505, Лист2!$D$2:$D$505)</f>
        <v>21153</v>
      </c>
      <c r="H144" s="18" cm="1">
        <f t="array" ref="H144">_xlfn.XLOOKUP(A144&amp;C144, Лист2!$A$2:$A$505&amp;Лист2!$B$2:$B$505, Лист2!$E$2:$E$505)</f>
        <v>19673</v>
      </c>
      <c r="I144" s="16">
        <f t="shared" si="5"/>
        <v>2982.75</v>
      </c>
    </row>
    <row r="145" spans="1:9" ht="14.25" customHeight="1" x14ac:dyDescent="0.3">
      <c r="A145" s="8">
        <v>43952</v>
      </c>
      <c r="B145">
        <f t="shared" si="4"/>
        <v>18</v>
      </c>
      <c r="C145" s="9" t="s">
        <v>15</v>
      </c>
      <c r="D145" s="9">
        <v>372504</v>
      </c>
      <c r="E145" s="9">
        <v>40077193.5</v>
      </c>
      <c r="F145" s="7" cm="1">
        <f t="array" ref="F145">_xlfn.XLOOKUP(A145&amp;C145, Лист2!$A$2:$A$505&amp;Лист2!$B$2:$B$505, Лист2!$C$2:$C$505)</f>
        <v>125</v>
      </c>
      <c r="G145" s="15" cm="1">
        <f t="array" ref="G145">_xlfn.XLOOKUP(A145&amp;C145, Лист2!$A$2:$A$505&amp;Лист2!$B$2:$B$505, Лист2!$D$2:$D$505)</f>
        <v>20602</v>
      </c>
      <c r="H145" s="18" cm="1">
        <f t="array" ref="H145">_xlfn.XLOOKUP(A145&amp;C145, Лист2!$A$2:$A$505&amp;Лист2!$B$2:$B$505, Лист2!$E$2:$E$505)</f>
        <v>18845</v>
      </c>
      <c r="I145" s="16">
        <f t="shared" si="5"/>
        <v>2980.0320000000002</v>
      </c>
    </row>
    <row r="146" spans="1:9" ht="14.25" customHeight="1" x14ac:dyDescent="0.3">
      <c r="A146" s="5">
        <v>43963</v>
      </c>
      <c r="B146">
        <f t="shared" si="4"/>
        <v>20</v>
      </c>
      <c r="C146" s="6" t="s">
        <v>15</v>
      </c>
      <c r="D146" s="6">
        <v>373392</v>
      </c>
      <c r="E146" s="6">
        <v>39578577</v>
      </c>
      <c r="F146" s="7" cm="1">
        <f t="array" ref="F146">_xlfn.XLOOKUP(A146&amp;C146, Лист2!$A$2:$A$505&amp;Лист2!$B$2:$B$505, Лист2!$C$2:$C$505)</f>
        <v>125</v>
      </c>
      <c r="G146" s="15" cm="1">
        <f t="array" ref="G146">_xlfn.XLOOKUP(A146&amp;C146, Лист2!$A$2:$A$505&amp;Лист2!$B$2:$B$505, Лист2!$D$2:$D$505)</f>
        <v>21106</v>
      </c>
      <c r="H146" s="18" cm="1">
        <f t="array" ref="H146">_xlfn.XLOOKUP(A146&amp;C146, Лист2!$A$2:$A$505&amp;Лист2!$B$2:$B$505, Лист2!$E$2:$E$505)</f>
        <v>19651</v>
      </c>
      <c r="I146" s="16">
        <f t="shared" si="5"/>
        <v>2987.136</v>
      </c>
    </row>
    <row r="147" spans="1:9" ht="14.25" customHeight="1" x14ac:dyDescent="0.3">
      <c r="A147" s="8">
        <v>43972</v>
      </c>
      <c r="B147">
        <f t="shared" si="4"/>
        <v>21</v>
      </c>
      <c r="C147" s="9" t="s">
        <v>15</v>
      </c>
      <c r="D147" s="9">
        <v>378043.5</v>
      </c>
      <c r="E147" s="9">
        <v>37902156.57</v>
      </c>
      <c r="F147" s="7" cm="1">
        <f t="array" ref="F147">_xlfn.XLOOKUP(A147&amp;C147, Лист2!$A$2:$A$505&amp;Лист2!$B$2:$B$505, Лист2!$C$2:$C$505)</f>
        <v>125</v>
      </c>
      <c r="G147" s="15" cm="1">
        <f t="array" ref="G147">_xlfn.XLOOKUP(A147&amp;C147, Лист2!$A$2:$A$505&amp;Лист2!$B$2:$B$505, Лист2!$D$2:$D$505)</f>
        <v>20911</v>
      </c>
      <c r="H147" s="18" cm="1">
        <f t="array" ref="H147">_xlfn.XLOOKUP(A147&amp;C147, Лист2!$A$2:$A$505&amp;Лист2!$B$2:$B$505, Лист2!$E$2:$E$505)</f>
        <v>19358</v>
      </c>
      <c r="I147" s="16">
        <f t="shared" si="5"/>
        <v>3024.348</v>
      </c>
    </row>
    <row r="148" spans="1:9" ht="14.25" customHeight="1" x14ac:dyDescent="0.3">
      <c r="A148" s="5">
        <v>43971</v>
      </c>
      <c r="B148">
        <f t="shared" si="4"/>
        <v>21</v>
      </c>
      <c r="C148" s="6" t="s">
        <v>15</v>
      </c>
      <c r="D148" s="6">
        <v>388668</v>
      </c>
      <c r="E148" s="6">
        <v>39639309</v>
      </c>
      <c r="F148" s="7" cm="1">
        <f t="array" ref="F148">_xlfn.XLOOKUP(A148&amp;C148, Лист2!$A$2:$A$505&amp;Лист2!$B$2:$B$505, Лист2!$C$2:$C$505)</f>
        <v>125</v>
      </c>
      <c r="G148" s="15" cm="1">
        <f t="array" ref="G148">_xlfn.XLOOKUP(A148&amp;C148, Лист2!$A$2:$A$505&amp;Лист2!$B$2:$B$505, Лист2!$D$2:$D$505)</f>
        <v>21674</v>
      </c>
      <c r="H148" s="18" cm="1">
        <f t="array" ref="H148">_xlfn.XLOOKUP(A148&amp;C148, Лист2!$A$2:$A$505&amp;Лист2!$B$2:$B$505, Лист2!$E$2:$E$505)</f>
        <v>20155</v>
      </c>
      <c r="I148" s="16">
        <f t="shared" si="5"/>
        <v>3109.3440000000001</v>
      </c>
    </row>
    <row r="149" spans="1:9" ht="14.25" customHeight="1" x14ac:dyDescent="0.3">
      <c r="A149" s="8">
        <v>43956</v>
      </c>
      <c r="B149">
        <f t="shared" si="4"/>
        <v>19</v>
      </c>
      <c r="C149" s="9" t="s">
        <v>15</v>
      </c>
      <c r="D149" s="9">
        <v>333792</v>
      </c>
      <c r="E149" s="9">
        <v>35671734</v>
      </c>
      <c r="F149" s="7" cm="1">
        <f t="array" ref="F149">_xlfn.XLOOKUP(A149&amp;C149, Лист2!$A$2:$A$505&amp;Лист2!$B$2:$B$505, Лист2!$C$2:$C$505)</f>
        <v>125</v>
      </c>
      <c r="G149" s="15" cm="1">
        <f t="array" ref="G149">_xlfn.XLOOKUP(A149&amp;C149, Лист2!$A$2:$A$505&amp;Лист2!$B$2:$B$505, Лист2!$D$2:$D$505)</f>
        <v>18944</v>
      </c>
      <c r="H149" s="18" cm="1">
        <f t="array" ref="H149">_xlfn.XLOOKUP(A149&amp;C149, Лист2!$A$2:$A$505&amp;Лист2!$B$2:$B$505, Лист2!$E$2:$E$505)</f>
        <v>17541</v>
      </c>
      <c r="I149" s="16">
        <f t="shared" si="5"/>
        <v>2670.3359999999998</v>
      </c>
    </row>
    <row r="150" spans="1:9" ht="14.25" customHeight="1" x14ac:dyDescent="0.3">
      <c r="A150" s="5">
        <v>43949</v>
      </c>
      <c r="B150">
        <f t="shared" si="4"/>
        <v>18</v>
      </c>
      <c r="C150" s="6" t="s">
        <v>15</v>
      </c>
      <c r="D150" s="6">
        <v>376060.5</v>
      </c>
      <c r="E150" s="6">
        <v>39918028.5</v>
      </c>
      <c r="F150" s="7" cm="1">
        <f t="array" ref="F150">_xlfn.XLOOKUP(A150&amp;C150, Лист2!$A$2:$A$505&amp;Лист2!$B$2:$B$505, Лист2!$C$2:$C$505)</f>
        <v>125</v>
      </c>
      <c r="G150" s="15" cm="1">
        <f t="array" ref="G150">_xlfn.XLOOKUP(A150&amp;C150, Лист2!$A$2:$A$505&amp;Лист2!$B$2:$B$505, Лист2!$D$2:$D$505)</f>
        <v>20914</v>
      </c>
      <c r="H150" s="18" cm="1">
        <f t="array" ref="H150">_xlfn.XLOOKUP(A150&amp;C150, Лист2!$A$2:$A$505&amp;Лист2!$B$2:$B$505, Лист2!$E$2:$E$505)</f>
        <v>19479</v>
      </c>
      <c r="I150" s="16">
        <f t="shared" si="5"/>
        <v>3008.4839999999999</v>
      </c>
    </row>
    <row r="151" spans="1:9" ht="14.25" customHeight="1" x14ac:dyDescent="0.3">
      <c r="A151" s="8">
        <v>43964</v>
      </c>
      <c r="B151">
        <f t="shared" si="4"/>
        <v>20</v>
      </c>
      <c r="C151" s="9" t="s">
        <v>15</v>
      </c>
      <c r="D151" s="9">
        <v>350068.5</v>
      </c>
      <c r="E151" s="9">
        <v>37197115.5</v>
      </c>
      <c r="F151" s="7" cm="1">
        <f t="array" ref="F151">_xlfn.XLOOKUP(A151&amp;C151, Лист2!$A$2:$A$505&amp;Лист2!$B$2:$B$505, Лист2!$C$2:$C$505)</f>
        <v>125</v>
      </c>
      <c r="G151" s="15" cm="1">
        <f t="array" ref="G151">_xlfn.XLOOKUP(A151&amp;C151, Лист2!$A$2:$A$505&amp;Лист2!$B$2:$B$505, Лист2!$D$2:$D$505)</f>
        <v>19965</v>
      </c>
      <c r="H151" s="18" cm="1">
        <f t="array" ref="H151">_xlfn.XLOOKUP(A151&amp;C151, Лист2!$A$2:$A$505&amp;Лист2!$B$2:$B$505, Лист2!$E$2:$E$505)</f>
        <v>18573</v>
      </c>
      <c r="I151" s="16">
        <f t="shared" si="5"/>
        <v>2800.5479999999998</v>
      </c>
    </row>
    <row r="152" spans="1:9" ht="14.25" customHeight="1" x14ac:dyDescent="0.3">
      <c r="A152" s="5">
        <v>43982</v>
      </c>
      <c r="B152">
        <f t="shared" si="4"/>
        <v>22</v>
      </c>
      <c r="C152" s="6" t="s">
        <v>14</v>
      </c>
      <c r="D152" s="6">
        <v>294337.5</v>
      </c>
      <c r="E152" s="6">
        <v>29327766</v>
      </c>
      <c r="F152" s="7" cm="1">
        <f t="array" ref="F152">_xlfn.XLOOKUP(A152&amp;C152, Лист2!$A$2:$A$505&amp;Лист2!$B$2:$B$505, Лист2!$C$2:$C$505)</f>
        <v>129</v>
      </c>
      <c r="G152" s="15" cm="1">
        <f t="array" ref="G152">_xlfn.XLOOKUP(A152&amp;C152, Лист2!$A$2:$A$505&amp;Лист2!$B$2:$B$505, Лист2!$D$2:$D$505)</f>
        <v>17235</v>
      </c>
      <c r="H152" s="18" cm="1">
        <f t="array" ref="H152">_xlfn.XLOOKUP(A152&amp;C152, Лист2!$A$2:$A$505&amp;Лист2!$B$2:$B$505, Лист2!$E$2:$E$505)</f>
        <v>16052</v>
      </c>
      <c r="I152" s="16">
        <f t="shared" si="5"/>
        <v>2281.6860465116279</v>
      </c>
    </row>
    <row r="153" spans="1:9" ht="14.25" customHeight="1" x14ac:dyDescent="0.3">
      <c r="A153" s="8">
        <v>43954</v>
      </c>
      <c r="B153">
        <f t="shared" si="4"/>
        <v>18</v>
      </c>
      <c r="C153" s="9" t="s">
        <v>15</v>
      </c>
      <c r="D153" s="9">
        <v>342666</v>
      </c>
      <c r="E153" s="9">
        <v>36631999.5</v>
      </c>
      <c r="F153" s="7" cm="1">
        <f t="array" ref="F153">_xlfn.XLOOKUP(A153&amp;C153, Лист2!$A$2:$A$505&amp;Лист2!$B$2:$B$505, Лист2!$C$2:$C$505)</f>
        <v>125</v>
      </c>
      <c r="G153" s="15" cm="1">
        <f t="array" ref="G153">_xlfn.XLOOKUP(A153&amp;C153, Лист2!$A$2:$A$505&amp;Лист2!$B$2:$B$505, Лист2!$D$2:$D$505)</f>
        <v>18861</v>
      </c>
      <c r="H153" s="18" cm="1">
        <f t="array" ref="H153">_xlfn.XLOOKUP(A153&amp;C153, Лист2!$A$2:$A$505&amp;Лист2!$B$2:$B$505, Лист2!$E$2:$E$505)</f>
        <v>17420</v>
      </c>
      <c r="I153" s="16">
        <f t="shared" si="5"/>
        <v>2741.328</v>
      </c>
    </row>
    <row r="154" spans="1:9" ht="14.25" customHeight="1" x14ac:dyDescent="0.3">
      <c r="A154" s="5">
        <v>43981</v>
      </c>
      <c r="B154">
        <f t="shared" si="4"/>
        <v>22</v>
      </c>
      <c r="C154" s="6" t="s">
        <v>14</v>
      </c>
      <c r="D154" s="6">
        <v>364882.5</v>
      </c>
      <c r="E154" s="6">
        <v>35724493.5</v>
      </c>
      <c r="F154" s="7" cm="1">
        <f t="array" ref="F154">_xlfn.XLOOKUP(A154&amp;C154, Лист2!$A$2:$A$505&amp;Лист2!$B$2:$B$505, Лист2!$C$2:$C$505)</f>
        <v>129</v>
      </c>
      <c r="G154" s="15" cm="1">
        <f t="array" ref="G154">_xlfn.XLOOKUP(A154&amp;C154, Лист2!$A$2:$A$505&amp;Лист2!$B$2:$B$505, Лист2!$D$2:$D$505)</f>
        <v>20243</v>
      </c>
      <c r="H154" s="18" cm="1">
        <f t="array" ref="H154">_xlfn.XLOOKUP(A154&amp;C154, Лист2!$A$2:$A$505&amp;Лист2!$B$2:$B$505, Лист2!$E$2:$E$505)</f>
        <v>18711</v>
      </c>
      <c r="I154" s="16">
        <f t="shared" si="5"/>
        <v>2828.546511627907</v>
      </c>
    </row>
    <row r="155" spans="1:9" ht="14.25" customHeight="1" x14ac:dyDescent="0.3">
      <c r="A155" s="8">
        <v>43957</v>
      </c>
      <c r="B155">
        <f t="shared" si="4"/>
        <v>19</v>
      </c>
      <c r="C155" s="9" t="s">
        <v>15</v>
      </c>
      <c r="D155" s="9">
        <v>355278</v>
      </c>
      <c r="E155" s="9">
        <v>38092344</v>
      </c>
      <c r="F155" s="7" cm="1">
        <f t="array" ref="F155">_xlfn.XLOOKUP(A155&amp;C155, Лист2!$A$2:$A$505&amp;Лист2!$B$2:$B$505, Лист2!$C$2:$C$505)</f>
        <v>125</v>
      </c>
      <c r="G155" s="15" cm="1">
        <f t="array" ref="G155">_xlfn.XLOOKUP(A155&amp;C155, Лист2!$A$2:$A$505&amp;Лист2!$B$2:$B$505, Лист2!$D$2:$D$505)</f>
        <v>20218</v>
      </c>
      <c r="H155" s="18" cm="1">
        <f t="array" ref="H155">_xlfn.XLOOKUP(A155&amp;C155, Лист2!$A$2:$A$505&amp;Лист2!$B$2:$B$505, Лист2!$E$2:$E$505)</f>
        <v>18647</v>
      </c>
      <c r="I155" s="16">
        <f t="shared" si="5"/>
        <v>2842.2240000000002</v>
      </c>
    </row>
    <row r="156" spans="1:9" ht="14.25" customHeight="1" x14ac:dyDescent="0.3">
      <c r="A156" s="5">
        <v>43974</v>
      </c>
      <c r="B156">
        <f t="shared" si="4"/>
        <v>21</v>
      </c>
      <c r="C156" s="6" t="s">
        <v>15</v>
      </c>
      <c r="D156" s="6">
        <v>456885</v>
      </c>
      <c r="E156" s="6">
        <v>46408080</v>
      </c>
      <c r="F156" s="7" cm="1">
        <f t="array" ref="F156">_xlfn.XLOOKUP(A156&amp;C156, Лист2!$A$2:$A$505&amp;Лист2!$B$2:$B$505, Лист2!$C$2:$C$505)</f>
        <v>125</v>
      </c>
      <c r="G156" s="15" cm="1">
        <f t="array" ref="G156">_xlfn.XLOOKUP(A156&amp;C156, Лист2!$A$2:$A$505&amp;Лист2!$B$2:$B$505, Лист2!$D$2:$D$505)</f>
        <v>24574</v>
      </c>
      <c r="H156" s="18" cm="1">
        <f t="array" ref="H156">_xlfn.XLOOKUP(A156&amp;C156, Лист2!$A$2:$A$505&amp;Лист2!$B$2:$B$505, Лист2!$E$2:$E$505)</f>
        <v>22609</v>
      </c>
      <c r="I156" s="16">
        <f t="shared" si="5"/>
        <v>3655.08</v>
      </c>
    </row>
    <row r="157" spans="1:9" ht="14.25" customHeight="1" x14ac:dyDescent="0.3">
      <c r="A157" s="8">
        <v>43979</v>
      </c>
      <c r="B157">
        <f t="shared" si="4"/>
        <v>22</v>
      </c>
      <c r="C157" s="9" t="s">
        <v>14</v>
      </c>
      <c r="D157" s="9">
        <v>278491.5</v>
      </c>
      <c r="E157" s="9">
        <v>28151004.75</v>
      </c>
      <c r="F157" s="7" cm="1">
        <f t="array" ref="F157">_xlfn.XLOOKUP(A157&amp;C157, Лист2!$A$2:$A$505&amp;Лист2!$B$2:$B$505, Лист2!$C$2:$C$505)</f>
        <v>129</v>
      </c>
      <c r="G157" s="15" cm="1">
        <f t="array" ref="G157">_xlfn.XLOOKUP(A157&amp;C157, Лист2!$A$2:$A$505&amp;Лист2!$B$2:$B$505, Лист2!$D$2:$D$505)</f>
        <v>16453</v>
      </c>
      <c r="H157" s="18" cm="1">
        <f t="array" ref="H157">_xlfn.XLOOKUP(A157&amp;C157, Лист2!$A$2:$A$505&amp;Лист2!$B$2:$B$505, Лист2!$E$2:$E$505)</f>
        <v>15289</v>
      </c>
      <c r="I157" s="16">
        <f t="shared" si="5"/>
        <v>2158.8488372093025</v>
      </c>
    </row>
    <row r="158" spans="1:9" ht="14.25" customHeight="1" x14ac:dyDescent="0.3">
      <c r="A158" s="5">
        <v>43976</v>
      </c>
      <c r="B158">
        <f t="shared" si="4"/>
        <v>22</v>
      </c>
      <c r="C158" s="6" t="s">
        <v>15</v>
      </c>
      <c r="D158" s="6">
        <v>349734</v>
      </c>
      <c r="E158" s="6">
        <v>36883428</v>
      </c>
      <c r="F158" s="7" cm="1">
        <f t="array" ref="F158">_xlfn.XLOOKUP(A158&amp;C158, Лист2!$A$2:$A$505&amp;Лист2!$B$2:$B$505, Лист2!$C$2:$C$505)</f>
        <v>124</v>
      </c>
      <c r="G158" s="15" cm="1">
        <f t="array" ref="G158">_xlfn.XLOOKUP(A158&amp;C158, Лист2!$A$2:$A$505&amp;Лист2!$B$2:$B$505, Лист2!$D$2:$D$505)</f>
        <v>20358</v>
      </c>
      <c r="H158" s="18" cm="1">
        <f t="array" ref="H158">_xlfn.XLOOKUP(A158&amp;C158, Лист2!$A$2:$A$505&amp;Лист2!$B$2:$B$505, Лист2!$E$2:$E$505)</f>
        <v>18890</v>
      </c>
      <c r="I158" s="16">
        <f t="shared" si="5"/>
        <v>2820.4354838709678</v>
      </c>
    </row>
    <row r="159" spans="1:9" ht="14.25" customHeight="1" x14ac:dyDescent="0.3">
      <c r="A159" s="8">
        <v>43951</v>
      </c>
      <c r="B159">
        <f t="shared" si="4"/>
        <v>18</v>
      </c>
      <c r="C159" s="9" t="s">
        <v>15</v>
      </c>
      <c r="D159" s="9">
        <v>401580</v>
      </c>
      <c r="E159" s="9">
        <v>43028734.5</v>
      </c>
      <c r="F159" s="7" cm="1">
        <f t="array" ref="F159">_xlfn.XLOOKUP(A159&amp;C159, Лист2!$A$2:$A$505&amp;Лист2!$B$2:$B$505, Лист2!$C$2:$C$505)</f>
        <v>125</v>
      </c>
      <c r="G159" s="15" cm="1">
        <f t="array" ref="G159">_xlfn.XLOOKUP(A159&amp;C159, Лист2!$A$2:$A$505&amp;Лист2!$B$2:$B$505, Лист2!$D$2:$D$505)</f>
        <v>22368</v>
      </c>
      <c r="H159" s="18" cm="1">
        <f t="array" ref="H159">_xlfn.XLOOKUP(A159&amp;C159, Лист2!$A$2:$A$505&amp;Лист2!$B$2:$B$505, Лист2!$E$2:$E$505)</f>
        <v>20625</v>
      </c>
      <c r="I159" s="16">
        <f t="shared" si="5"/>
        <v>3212.64</v>
      </c>
    </row>
    <row r="160" spans="1:9" ht="14.25" customHeight="1" x14ac:dyDescent="0.3">
      <c r="A160" s="5">
        <v>43961</v>
      </c>
      <c r="B160">
        <f t="shared" si="4"/>
        <v>19</v>
      </c>
      <c r="C160" s="6" t="s">
        <v>15</v>
      </c>
      <c r="D160" s="6">
        <v>368649</v>
      </c>
      <c r="E160" s="6">
        <v>39010875</v>
      </c>
      <c r="F160" s="7" cm="1">
        <f t="array" ref="F160">_xlfn.XLOOKUP(A160&amp;C160, Лист2!$A$2:$A$505&amp;Лист2!$B$2:$B$505, Лист2!$C$2:$C$505)</f>
        <v>125</v>
      </c>
      <c r="G160" s="15" cm="1">
        <f t="array" ref="G160">_xlfn.XLOOKUP(A160&amp;C160, Лист2!$A$2:$A$505&amp;Лист2!$B$2:$B$505, Лист2!$D$2:$D$505)</f>
        <v>20368</v>
      </c>
      <c r="H160" s="18" cm="1">
        <f t="array" ref="H160">_xlfn.XLOOKUP(A160&amp;C160, Лист2!$A$2:$A$505&amp;Лист2!$B$2:$B$505, Лист2!$E$2:$E$505)</f>
        <v>18884</v>
      </c>
      <c r="I160" s="16">
        <f t="shared" si="5"/>
        <v>2949.192</v>
      </c>
    </row>
    <row r="161" spans="1:9" ht="14.25" customHeight="1" x14ac:dyDescent="0.3">
      <c r="A161" s="8">
        <v>43959</v>
      </c>
      <c r="B161">
        <f t="shared" si="4"/>
        <v>19</v>
      </c>
      <c r="C161" s="9" t="s">
        <v>15</v>
      </c>
      <c r="D161" s="9">
        <v>463530</v>
      </c>
      <c r="E161" s="9">
        <v>49123180.5</v>
      </c>
      <c r="F161" s="7" cm="1">
        <f t="array" ref="F161">_xlfn.XLOOKUP(A161&amp;C161, Лист2!$A$2:$A$505&amp;Лист2!$B$2:$B$505, Лист2!$C$2:$C$505)</f>
        <v>125</v>
      </c>
      <c r="G161" s="15" cm="1">
        <f t="array" ref="G161">_xlfn.XLOOKUP(A161&amp;C161, Лист2!$A$2:$A$505&amp;Лист2!$B$2:$B$505, Лист2!$D$2:$D$505)</f>
        <v>24620</v>
      </c>
      <c r="H161" s="18" cm="1">
        <f t="array" ref="H161">_xlfn.XLOOKUP(A161&amp;C161, Лист2!$A$2:$A$505&amp;Лист2!$B$2:$B$505, Лист2!$E$2:$E$505)</f>
        <v>22641</v>
      </c>
      <c r="I161" s="16">
        <f t="shared" si="5"/>
        <v>3708.24</v>
      </c>
    </row>
    <row r="162" spans="1:9" ht="14.25" customHeight="1" x14ac:dyDescent="0.3">
      <c r="A162" s="5">
        <v>43958</v>
      </c>
      <c r="B162">
        <f t="shared" si="4"/>
        <v>19</v>
      </c>
      <c r="C162" s="6" t="s">
        <v>15</v>
      </c>
      <c r="D162" s="6">
        <v>319110</v>
      </c>
      <c r="E162" s="6">
        <v>33763989</v>
      </c>
      <c r="F162" s="7" cm="1">
        <f t="array" ref="F162">_xlfn.XLOOKUP(A162&amp;C162, Лист2!$A$2:$A$505&amp;Лист2!$B$2:$B$505, Лист2!$C$2:$C$505)</f>
        <v>125</v>
      </c>
      <c r="G162" s="15" cm="1">
        <f t="array" ref="G162">_xlfn.XLOOKUP(A162&amp;C162, Лист2!$A$2:$A$505&amp;Лист2!$B$2:$B$505, Лист2!$D$2:$D$505)</f>
        <v>18014</v>
      </c>
      <c r="H162" s="18" cm="1">
        <f t="array" ref="H162">_xlfn.XLOOKUP(A162&amp;C162, Лист2!$A$2:$A$505&amp;Лист2!$B$2:$B$505, Лист2!$E$2:$E$505)</f>
        <v>16675</v>
      </c>
      <c r="I162" s="16">
        <f t="shared" si="5"/>
        <v>2552.88</v>
      </c>
    </row>
    <row r="163" spans="1:9" ht="14.25" customHeight="1" x14ac:dyDescent="0.3">
      <c r="A163" s="8">
        <v>43975</v>
      </c>
      <c r="B163">
        <f t="shared" si="4"/>
        <v>21</v>
      </c>
      <c r="C163" s="9" t="s">
        <v>15</v>
      </c>
      <c r="D163" s="9">
        <v>375744</v>
      </c>
      <c r="E163" s="9">
        <v>38191381.5</v>
      </c>
      <c r="F163" s="7" cm="1">
        <f t="array" ref="F163">_xlfn.XLOOKUP(A163&amp;C163, Лист2!$A$2:$A$505&amp;Лист2!$B$2:$B$505, Лист2!$C$2:$C$505)</f>
        <v>125</v>
      </c>
      <c r="G163" s="15" cm="1">
        <f t="array" ref="G163">_xlfn.XLOOKUP(A163&amp;C163, Лист2!$A$2:$A$505&amp;Лист2!$B$2:$B$505, Лист2!$D$2:$D$505)</f>
        <v>21004</v>
      </c>
      <c r="H163" s="18" cm="1">
        <f t="array" ref="H163">_xlfn.XLOOKUP(A163&amp;C163, Лист2!$A$2:$A$505&amp;Лист2!$B$2:$B$505, Лист2!$E$2:$E$505)</f>
        <v>19556</v>
      </c>
      <c r="I163" s="16">
        <f t="shared" si="5"/>
        <v>3005.9520000000002</v>
      </c>
    </row>
    <row r="164" spans="1:9" ht="14.25" customHeight="1" x14ac:dyDescent="0.3">
      <c r="A164" s="5">
        <v>43967</v>
      </c>
      <c r="B164">
        <f t="shared" si="4"/>
        <v>20</v>
      </c>
      <c r="C164" s="6" t="s">
        <v>16</v>
      </c>
      <c r="D164" s="6">
        <v>81331.5</v>
      </c>
      <c r="E164" s="6">
        <v>6652179</v>
      </c>
      <c r="F164" s="7" cm="1">
        <f t="array" ref="F164">_xlfn.XLOOKUP(A164&amp;C164, Лист2!$A$2:$A$505&amp;Лист2!$B$2:$B$505, Лист2!$C$2:$C$505)</f>
        <v>36</v>
      </c>
      <c r="G164" s="15" cm="1">
        <f t="array" ref="G164">_xlfn.XLOOKUP(A164&amp;C164, Лист2!$A$2:$A$505&amp;Лист2!$B$2:$B$505, Лист2!$D$2:$D$505)</f>
        <v>5286</v>
      </c>
      <c r="H164" s="18" cm="1">
        <f t="array" ref="H164">_xlfn.XLOOKUP(A164&amp;C164, Лист2!$A$2:$A$505&amp;Лист2!$B$2:$B$505, Лист2!$E$2:$E$505)</f>
        <v>4867</v>
      </c>
      <c r="I164" s="16">
        <f t="shared" si="5"/>
        <v>2259.2083333333335</v>
      </c>
    </row>
    <row r="165" spans="1:9" ht="14.25" customHeight="1" x14ac:dyDescent="0.3">
      <c r="A165" s="8">
        <v>43970</v>
      </c>
      <c r="B165">
        <f t="shared" si="4"/>
        <v>21</v>
      </c>
      <c r="C165" s="9" t="s">
        <v>16</v>
      </c>
      <c r="D165" s="9">
        <v>75796.5</v>
      </c>
      <c r="E165" s="9">
        <v>6173463</v>
      </c>
      <c r="F165" s="7" cm="1">
        <f t="array" ref="F165">_xlfn.XLOOKUP(A165&amp;C165, Лист2!$A$2:$A$505&amp;Лист2!$B$2:$B$505, Лист2!$C$2:$C$505)</f>
        <v>36</v>
      </c>
      <c r="G165" s="15" cm="1">
        <f t="array" ref="G165">_xlfn.XLOOKUP(A165&amp;C165, Лист2!$A$2:$A$505&amp;Лист2!$B$2:$B$505, Лист2!$D$2:$D$505)</f>
        <v>5094</v>
      </c>
      <c r="H165" s="18" cm="1">
        <f t="array" ref="H165">_xlfn.XLOOKUP(A165&amp;C165, Лист2!$A$2:$A$505&amp;Лист2!$B$2:$B$505, Лист2!$E$2:$E$505)</f>
        <v>4716</v>
      </c>
      <c r="I165" s="16">
        <f t="shared" si="5"/>
        <v>2105.4583333333335</v>
      </c>
    </row>
    <row r="166" spans="1:9" ht="14.25" customHeight="1" x14ac:dyDescent="0.3">
      <c r="A166" s="5">
        <v>43968</v>
      </c>
      <c r="B166">
        <f t="shared" si="4"/>
        <v>20</v>
      </c>
      <c r="C166" s="6" t="s">
        <v>16</v>
      </c>
      <c r="D166" s="6">
        <v>72861</v>
      </c>
      <c r="E166" s="6">
        <v>5952802.5</v>
      </c>
      <c r="F166" s="7" cm="1">
        <f t="array" ref="F166">_xlfn.XLOOKUP(A166&amp;C166, Лист2!$A$2:$A$505&amp;Лист2!$B$2:$B$505, Лист2!$C$2:$C$505)</f>
        <v>36</v>
      </c>
      <c r="G166" s="15" cm="1">
        <f t="array" ref="G166">_xlfn.XLOOKUP(A166&amp;C166, Лист2!$A$2:$A$505&amp;Лист2!$B$2:$B$505, Лист2!$D$2:$D$505)</f>
        <v>4918</v>
      </c>
      <c r="H166" s="18" cm="1">
        <f t="array" ref="H166">_xlfn.XLOOKUP(A166&amp;C166, Лист2!$A$2:$A$505&amp;Лист2!$B$2:$B$505, Лист2!$E$2:$E$505)</f>
        <v>4554</v>
      </c>
      <c r="I166" s="16">
        <f t="shared" si="5"/>
        <v>2023.9166666666667</v>
      </c>
    </row>
    <row r="167" spans="1:9" ht="14.25" customHeight="1" x14ac:dyDescent="0.3">
      <c r="A167" s="8">
        <v>43960</v>
      </c>
      <c r="B167">
        <f t="shared" si="4"/>
        <v>19</v>
      </c>
      <c r="C167" s="9" t="s">
        <v>16</v>
      </c>
      <c r="D167" s="9">
        <v>83373</v>
      </c>
      <c r="E167" s="9">
        <v>7253427</v>
      </c>
      <c r="F167" s="7" cm="1">
        <f t="array" ref="F167">_xlfn.XLOOKUP(A167&amp;C167, Лист2!$A$2:$A$505&amp;Лист2!$B$2:$B$505, Лист2!$C$2:$C$505)</f>
        <v>36</v>
      </c>
      <c r="G167" s="15" cm="1">
        <f t="array" ref="G167">_xlfn.XLOOKUP(A167&amp;C167, Лист2!$A$2:$A$505&amp;Лист2!$B$2:$B$505, Лист2!$D$2:$D$505)</f>
        <v>5413</v>
      </c>
      <c r="H167" s="18" cm="1">
        <f t="array" ref="H167">_xlfn.XLOOKUP(A167&amp;C167, Лист2!$A$2:$A$505&amp;Лист2!$B$2:$B$505, Лист2!$E$2:$E$505)</f>
        <v>4959</v>
      </c>
      <c r="I167" s="16">
        <f t="shared" si="5"/>
        <v>2315.9166666666665</v>
      </c>
    </row>
    <row r="168" spans="1:9" ht="14.25" customHeight="1" x14ac:dyDescent="0.3">
      <c r="A168" s="5">
        <v>43955</v>
      </c>
      <c r="B168">
        <f t="shared" si="4"/>
        <v>19</v>
      </c>
      <c r="C168" s="6" t="s">
        <v>16</v>
      </c>
      <c r="D168" s="6">
        <v>64108.5</v>
      </c>
      <c r="E168" s="6">
        <v>5561452.5</v>
      </c>
      <c r="F168" s="7" cm="1">
        <f t="array" ref="F168">_xlfn.XLOOKUP(A168&amp;C168, Лист2!$A$2:$A$505&amp;Лист2!$B$2:$B$505, Лист2!$C$2:$C$505)</f>
        <v>36</v>
      </c>
      <c r="G168" s="15" cm="1">
        <f t="array" ref="G168">_xlfn.XLOOKUP(A168&amp;C168, Лист2!$A$2:$A$505&amp;Лист2!$B$2:$B$505, Лист2!$D$2:$D$505)</f>
        <v>4508</v>
      </c>
      <c r="H168" s="18" cm="1">
        <f t="array" ref="H168">_xlfn.XLOOKUP(A168&amp;C168, Лист2!$A$2:$A$505&amp;Лист2!$B$2:$B$505, Лист2!$E$2:$E$505)</f>
        <v>4149</v>
      </c>
      <c r="I168" s="16">
        <f t="shared" si="5"/>
        <v>1780.7916666666667</v>
      </c>
    </row>
    <row r="169" spans="1:9" ht="14.25" customHeight="1" x14ac:dyDescent="0.3">
      <c r="A169" s="8">
        <v>43950</v>
      </c>
      <c r="B169">
        <f t="shared" si="4"/>
        <v>18</v>
      </c>
      <c r="C169" s="9" t="s">
        <v>16</v>
      </c>
      <c r="D169" s="9">
        <v>74707.5</v>
      </c>
      <c r="E169" s="9">
        <v>6454458</v>
      </c>
      <c r="F169" s="7" cm="1">
        <f t="array" ref="F169">_xlfn.XLOOKUP(A169&amp;C169, Лист2!$A$2:$A$505&amp;Лист2!$B$2:$B$505, Лист2!$C$2:$C$505)</f>
        <v>36</v>
      </c>
      <c r="G169" s="15" cm="1">
        <f t="array" ref="G169">_xlfn.XLOOKUP(A169&amp;C169, Лист2!$A$2:$A$505&amp;Лист2!$B$2:$B$505, Лист2!$D$2:$D$505)</f>
        <v>4937</v>
      </c>
      <c r="H169" s="18" cm="1">
        <f t="array" ref="H169">_xlfn.XLOOKUP(A169&amp;C169, Лист2!$A$2:$A$505&amp;Лист2!$B$2:$B$505, Лист2!$E$2:$E$505)</f>
        <v>4561</v>
      </c>
      <c r="I169" s="16">
        <f t="shared" si="5"/>
        <v>2075.2083333333335</v>
      </c>
    </row>
    <row r="170" spans="1:9" ht="14.25" customHeight="1" x14ac:dyDescent="0.3">
      <c r="A170" s="5">
        <v>43953</v>
      </c>
      <c r="B170">
        <f t="shared" si="4"/>
        <v>18</v>
      </c>
      <c r="C170" s="6" t="s">
        <v>16</v>
      </c>
      <c r="D170" s="6">
        <v>46216.5</v>
      </c>
      <c r="E170" s="6">
        <v>4118251.5</v>
      </c>
      <c r="F170" s="7" cm="1">
        <f t="array" ref="F170">_xlfn.XLOOKUP(A170&amp;C170, Лист2!$A$2:$A$505&amp;Лист2!$B$2:$B$505, Лист2!$C$2:$C$505)</f>
        <v>36</v>
      </c>
      <c r="G170" s="15" cm="1">
        <f t="array" ref="G170">_xlfn.XLOOKUP(A170&amp;C170, Лист2!$A$2:$A$505&amp;Лист2!$B$2:$B$505, Лист2!$D$2:$D$505)</f>
        <v>3442</v>
      </c>
      <c r="H170" s="18" cm="1">
        <f t="array" ref="H170">_xlfn.XLOOKUP(A170&amp;C170, Лист2!$A$2:$A$505&amp;Лист2!$B$2:$B$505, Лист2!$E$2:$E$505)</f>
        <v>3147</v>
      </c>
      <c r="I170" s="16">
        <f t="shared" si="5"/>
        <v>1283.7916666666667</v>
      </c>
    </row>
    <row r="171" spans="1:9" ht="14.25" customHeight="1" x14ac:dyDescent="0.3">
      <c r="A171" s="8">
        <v>43977</v>
      </c>
      <c r="B171">
        <f t="shared" si="4"/>
        <v>22</v>
      </c>
      <c r="C171" s="9" t="s">
        <v>16</v>
      </c>
      <c r="D171" s="9">
        <v>67726.5</v>
      </c>
      <c r="E171" s="9">
        <v>5864989.5</v>
      </c>
      <c r="F171" s="7" cm="1">
        <f t="array" ref="F171">_xlfn.XLOOKUP(A171&amp;C171, Лист2!$A$2:$A$505&amp;Лист2!$B$2:$B$505, Лист2!$C$2:$C$505)</f>
        <v>36</v>
      </c>
      <c r="G171" s="15" cm="1">
        <f t="array" ref="G171">_xlfn.XLOOKUP(A171&amp;C171, Лист2!$A$2:$A$505&amp;Лист2!$B$2:$B$505, Лист2!$D$2:$D$505)</f>
        <v>4770</v>
      </c>
      <c r="H171" s="18" cm="1">
        <f t="array" ref="H171">_xlfn.XLOOKUP(A171&amp;C171, Лист2!$A$2:$A$505&amp;Лист2!$B$2:$B$505, Лист2!$E$2:$E$505)</f>
        <v>4424</v>
      </c>
      <c r="I171" s="16">
        <f t="shared" si="5"/>
        <v>1881.2916666666667</v>
      </c>
    </row>
    <row r="172" spans="1:9" ht="14.25" customHeight="1" x14ac:dyDescent="0.3">
      <c r="A172" s="5">
        <v>43952</v>
      </c>
      <c r="B172">
        <f t="shared" si="4"/>
        <v>18</v>
      </c>
      <c r="C172" s="6" t="s">
        <v>16</v>
      </c>
      <c r="D172" s="6">
        <v>82228.5</v>
      </c>
      <c r="E172" s="6">
        <v>7032225</v>
      </c>
      <c r="F172" s="7" cm="1">
        <f t="array" ref="F172">_xlfn.XLOOKUP(A172&amp;C172, Лист2!$A$2:$A$505&amp;Лист2!$B$2:$B$505, Лист2!$C$2:$C$505)</f>
        <v>36</v>
      </c>
      <c r="G172" s="15" cm="1">
        <f t="array" ref="G172">_xlfn.XLOOKUP(A172&amp;C172, Лист2!$A$2:$A$505&amp;Лист2!$B$2:$B$505, Лист2!$D$2:$D$505)</f>
        <v>5457</v>
      </c>
      <c r="H172" s="18" cm="1">
        <f t="array" ref="H172">_xlfn.XLOOKUP(A172&amp;C172, Лист2!$A$2:$A$505&amp;Лист2!$B$2:$B$505, Лист2!$E$2:$E$505)</f>
        <v>4916</v>
      </c>
      <c r="I172" s="16">
        <f t="shared" si="5"/>
        <v>2284.125</v>
      </c>
    </row>
    <row r="173" spans="1:9" ht="14.25" customHeight="1" x14ac:dyDescent="0.3">
      <c r="A173" s="8">
        <v>43963</v>
      </c>
      <c r="B173">
        <f t="shared" si="4"/>
        <v>20</v>
      </c>
      <c r="C173" s="9" t="s">
        <v>16</v>
      </c>
      <c r="D173" s="9">
        <v>64390.5</v>
      </c>
      <c r="E173" s="9">
        <v>5523145.5</v>
      </c>
      <c r="F173" s="7" cm="1">
        <f t="array" ref="F173">_xlfn.XLOOKUP(A173&amp;C173, Лист2!$A$2:$A$505&amp;Лист2!$B$2:$B$505, Лист2!$C$2:$C$505)</f>
        <v>36</v>
      </c>
      <c r="G173" s="15" cm="1">
        <f t="array" ref="G173">_xlfn.XLOOKUP(A173&amp;C173, Лист2!$A$2:$A$505&amp;Лист2!$B$2:$B$505, Лист2!$D$2:$D$505)</f>
        <v>4418</v>
      </c>
      <c r="H173" s="18" cm="1">
        <f t="array" ref="H173">_xlfn.XLOOKUP(A173&amp;C173, Лист2!$A$2:$A$505&amp;Лист2!$B$2:$B$505, Лист2!$E$2:$E$505)</f>
        <v>4088</v>
      </c>
      <c r="I173" s="16">
        <f t="shared" si="5"/>
        <v>1788.625</v>
      </c>
    </row>
    <row r="174" spans="1:9" ht="14.25" customHeight="1" x14ac:dyDescent="0.3">
      <c r="A174" s="5">
        <v>43972</v>
      </c>
      <c r="B174">
        <f t="shared" si="4"/>
        <v>21</v>
      </c>
      <c r="C174" s="6" t="s">
        <v>16</v>
      </c>
      <c r="D174" s="6">
        <v>73126.5</v>
      </c>
      <c r="E174" s="6">
        <v>5864085</v>
      </c>
      <c r="F174" s="7" cm="1">
        <f t="array" ref="F174">_xlfn.XLOOKUP(A174&amp;C174, Лист2!$A$2:$A$505&amp;Лист2!$B$2:$B$505, Лист2!$C$2:$C$505)</f>
        <v>36</v>
      </c>
      <c r="G174" s="15" cm="1">
        <f t="array" ref="G174">_xlfn.XLOOKUP(A174&amp;C174, Лист2!$A$2:$A$505&amp;Лист2!$B$2:$B$505, Лист2!$D$2:$D$505)</f>
        <v>4816</v>
      </c>
      <c r="H174" s="18" cm="1">
        <f t="array" ref="H174">_xlfn.XLOOKUP(A174&amp;C174, Лист2!$A$2:$A$505&amp;Лист2!$B$2:$B$505, Лист2!$E$2:$E$505)</f>
        <v>4452</v>
      </c>
      <c r="I174" s="16">
        <f t="shared" si="5"/>
        <v>2031.2916666666667</v>
      </c>
    </row>
    <row r="175" spans="1:9" ht="14.25" customHeight="1" x14ac:dyDescent="0.3">
      <c r="A175" s="8">
        <v>43971</v>
      </c>
      <c r="B175">
        <f t="shared" si="4"/>
        <v>21</v>
      </c>
      <c r="C175" s="9" t="s">
        <v>16</v>
      </c>
      <c r="D175" s="9">
        <v>99631.5</v>
      </c>
      <c r="E175" s="9">
        <v>7121946</v>
      </c>
      <c r="F175" s="7" cm="1">
        <f t="array" ref="F175">_xlfn.XLOOKUP(A175&amp;C175, Лист2!$A$2:$A$505&amp;Лист2!$B$2:$B$505, Лист2!$C$2:$C$505)</f>
        <v>36</v>
      </c>
      <c r="G175" s="15" cm="1">
        <f t="array" ref="G175">_xlfn.XLOOKUP(A175&amp;C175, Лист2!$A$2:$A$505&amp;Лист2!$B$2:$B$505, Лист2!$D$2:$D$505)</f>
        <v>5914</v>
      </c>
      <c r="H175" s="18" cm="1">
        <f t="array" ref="H175">_xlfn.XLOOKUP(A175&amp;C175, Лист2!$A$2:$A$505&amp;Лист2!$B$2:$B$505, Лист2!$E$2:$E$505)</f>
        <v>5384</v>
      </c>
      <c r="I175" s="16">
        <f t="shared" si="5"/>
        <v>2767.5416666666665</v>
      </c>
    </row>
    <row r="176" spans="1:9" ht="14.25" customHeight="1" x14ac:dyDescent="0.3">
      <c r="A176" s="5">
        <v>43956</v>
      </c>
      <c r="B176">
        <f t="shared" si="4"/>
        <v>19</v>
      </c>
      <c r="C176" s="6" t="s">
        <v>16</v>
      </c>
      <c r="D176" s="6">
        <v>66396</v>
      </c>
      <c r="E176" s="6">
        <v>5770539</v>
      </c>
      <c r="F176" s="7" cm="1">
        <f t="array" ref="F176">_xlfn.XLOOKUP(A176&amp;C176, Лист2!$A$2:$A$505&amp;Лист2!$B$2:$B$505, Лист2!$C$2:$C$505)</f>
        <v>36</v>
      </c>
      <c r="G176" s="15" cm="1">
        <f t="array" ref="G176">_xlfn.XLOOKUP(A176&amp;C176, Лист2!$A$2:$A$505&amp;Лист2!$B$2:$B$505, Лист2!$D$2:$D$505)</f>
        <v>4575</v>
      </c>
      <c r="H176" s="18" cm="1">
        <f t="array" ref="H176">_xlfn.XLOOKUP(A176&amp;C176, Лист2!$A$2:$A$505&amp;Лист2!$B$2:$B$505, Лист2!$E$2:$E$505)</f>
        <v>4206</v>
      </c>
      <c r="I176" s="16">
        <f t="shared" si="5"/>
        <v>1844.3333333333333</v>
      </c>
    </row>
    <row r="177" spans="1:9" ht="14.25" customHeight="1" x14ac:dyDescent="0.3">
      <c r="A177" s="8">
        <v>43949</v>
      </c>
      <c r="B177">
        <f t="shared" si="4"/>
        <v>18</v>
      </c>
      <c r="C177" s="9" t="s">
        <v>16</v>
      </c>
      <c r="D177" s="9">
        <v>73147.5</v>
      </c>
      <c r="E177" s="9">
        <v>6288246</v>
      </c>
      <c r="F177" s="7" cm="1">
        <f t="array" ref="F177">_xlfn.XLOOKUP(A177&amp;C177, Лист2!$A$2:$A$505&amp;Лист2!$B$2:$B$505, Лист2!$C$2:$C$505)</f>
        <v>36</v>
      </c>
      <c r="G177" s="15" cm="1">
        <f t="array" ref="G177">_xlfn.XLOOKUP(A177&amp;C177, Лист2!$A$2:$A$505&amp;Лист2!$B$2:$B$505, Лист2!$D$2:$D$505)</f>
        <v>4923</v>
      </c>
      <c r="H177" s="18" cm="1">
        <f t="array" ref="H177">_xlfn.XLOOKUP(A177&amp;C177, Лист2!$A$2:$A$505&amp;Лист2!$B$2:$B$505, Лист2!$E$2:$E$505)</f>
        <v>4560</v>
      </c>
      <c r="I177" s="16">
        <f t="shared" si="5"/>
        <v>2031.875</v>
      </c>
    </row>
    <row r="178" spans="1:9" ht="14.25" customHeight="1" x14ac:dyDescent="0.3">
      <c r="A178" s="5">
        <v>43964</v>
      </c>
      <c r="B178">
        <f t="shared" si="4"/>
        <v>20</v>
      </c>
      <c r="C178" s="6" t="s">
        <v>16</v>
      </c>
      <c r="D178" s="6">
        <v>73062</v>
      </c>
      <c r="E178" s="6">
        <v>6333828</v>
      </c>
      <c r="F178" s="7" cm="1">
        <f t="array" ref="F178">_xlfn.XLOOKUP(A178&amp;C178, Лист2!$A$2:$A$505&amp;Лист2!$B$2:$B$505, Лист2!$C$2:$C$505)</f>
        <v>36</v>
      </c>
      <c r="G178" s="15" cm="1">
        <f t="array" ref="G178">_xlfn.XLOOKUP(A178&amp;C178, Лист2!$A$2:$A$505&amp;Лист2!$B$2:$B$505, Лист2!$D$2:$D$505)</f>
        <v>4967</v>
      </c>
      <c r="H178" s="18" cm="1">
        <f t="array" ref="H178">_xlfn.XLOOKUP(A178&amp;C178, Лист2!$A$2:$A$505&amp;Лист2!$B$2:$B$505, Лист2!$E$2:$E$505)</f>
        <v>4583</v>
      </c>
      <c r="I178" s="16">
        <f t="shared" si="5"/>
        <v>2029.5</v>
      </c>
    </row>
    <row r="179" spans="1:9" ht="14.25" customHeight="1" x14ac:dyDescent="0.3">
      <c r="A179" s="8">
        <v>43982</v>
      </c>
      <c r="B179">
        <f t="shared" si="4"/>
        <v>22</v>
      </c>
      <c r="C179" s="9" t="s">
        <v>15</v>
      </c>
      <c r="D179" s="9">
        <v>379663.5</v>
      </c>
      <c r="E179" s="9">
        <v>39380178</v>
      </c>
      <c r="F179" s="7" cm="1">
        <f t="array" ref="F179">_xlfn.XLOOKUP(A179&amp;C179, Лист2!$A$2:$A$505&amp;Лист2!$B$2:$B$505, Лист2!$C$2:$C$505)</f>
        <v>124</v>
      </c>
      <c r="G179" s="15" cm="1">
        <f t="array" ref="G179">_xlfn.XLOOKUP(A179&amp;C179, Лист2!$A$2:$A$505&amp;Лист2!$B$2:$B$505, Лист2!$D$2:$D$505)</f>
        <v>21392</v>
      </c>
      <c r="H179" s="18" cm="1">
        <f t="array" ref="H179">_xlfn.XLOOKUP(A179&amp;C179, Лист2!$A$2:$A$505&amp;Лист2!$B$2:$B$505, Лист2!$E$2:$E$505)</f>
        <v>19869</v>
      </c>
      <c r="I179" s="16">
        <f t="shared" si="5"/>
        <v>3061.8024193548385</v>
      </c>
    </row>
    <row r="180" spans="1:9" ht="14.25" customHeight="1" x14ac:dyDescent="0.3">
      <c r="A180" s="5">
        <v>43954</v>
      </c>
      <c r="B180">
        <f t="shared" si="4"/>
        <v>18</v>
      </c>
      <c r="C180" s="6" t="s">
        <v>16</v>
      </c>
      <c r="D180" s="6">
        <v>70581</v>
      </c>
      <c r="E180" s="6">
        <v>6221320.5</v>
      </c>
      <c r="F180" s="7" cm="1">
        <f t="array" ref="F180">_xlfn.XLOOKUP(A180&amp;C180, Лист2!$A$2:$A$505&amp;Лист2!$B$2:$B$505, Лист2!$C$2:$C$505)</f>
        <v>36</v>
      </c>
      <c r="G180" s="15" cm="1">
        <f t="array" ref="G180">_xlfn.XLOOKUP(A180&amp;C180, Лист2!$A$2:$A$505&amp;Лист2!$B$2:$B$505, Лист2!$D$2:$D$505)</f>
        <v>4751</v>
      </c>
      <c r="H180" s="18" cm="1">
        <f t="array" ref="H180">_xlfn.XLOOKUP(A180&amp;C180, Лист2!$A$2:$A$505&amp;Лист2!$B$2:$B$505, Лист2!$E$2:$E$505)</f>
        <v>4370</v>
      </c>
      <c r="I180" s="16">
        <f t="shared" si="5"/>
        <v>1960.5833333333333</v>
      </c>
    </row>
    <row r="181" spans="1:9" ht="14.25" customHeight="1" x14ac:dyDescent="0.3">
      <c r="A181" s="8">
        <v>43981</v>
      </c>
      <c r="B181">
        <f t="shared" si="4"/>
        <v>22</v>
      </c>
      <c r="C181" s="9" t="s">
        <v>15</v>
      </c>
      <c r="D181" s="9">
        <v>453123</v>
      </c>
      <c r="E181" s="9">
        <v>46370904</v>
      </c>
      <c r="F181" s="7" cm="1">
        <f t="array" ref="F181">_xlfn.XLOOKUP(A181&amp;C181, Лист2!$A$2:$A$505&amp;Лист2!$B$2:$B$505, Лист2!$C$2:$C$505)</f>
        <v>124</v>
      </c>
      <c r="G181" s="15" cm="1">
        <f t="array" ref="G181">_xlfn.XLOOKUP(A181&amp;C181, Лист2!$A$2:$A$505&amp;Лист2!$B$2:$B$505, Лист2!$D$2:$D$505)</f>
        <v>24325</v>
      </c>
      <c r="H181" s="18" cm="1">
        <f t="array" ref="H181">_xlfn.XLOOKUP(A181&amp;C181, Лист2!$A$2:$A$505&amp;Лист2!$B$2:$B$505, Лист2!$E$2:$E$505)</f>
        <v>22469</v>
      </c>
      <c r="I181" s="16">
        <f t="shared" si="5"/>
        <v>3654.2177419354839</v>
      </c>
    </row>
    <row r="182" spans="1:9" ht="14.25" customHeight="1" x14ac:dyDescent="0.3">
      <c r="A182" s="5">
        <v>43957</v>
      </c>
      <c r="B182">
        <f t="shared" si="4"/>
        <v>19</v>
      </c>
      <c r="C182" s="6" t="s">
        <v>16</v>
      </c>
      <c r="D182" s="6">
        <v>63012</v>
      </c>
      <c r="E182" s="6">
        <v>5454121.5</v>
      </c>
      <c r="F182" s="7" cm="1">
        <f t="array" ref="F182">_xlfn.XLOOKUP(A182&amp;C182, Лист2!$A$2:$A$505&amp;Лист2!$B$2:$B$505, Лист2!$C$2:$C$505)</f>
        <v>36</v>
      </c>
      <c r="G182" s="15" cm="1">
        <f t="array" ref="G182">_xlfn.XLOOKUP(A182&amp;C182, Лист2!$A$2:$A$505&amp;Лист2!$B$2:$B$505, Лист2!$D$2:$D$505)</f>
        <v>4384</v>
      </c>
      <c r="H182" s="18" cm="1">
        <f t="array" ref="H182">_xlfn.XLOOKUP(A182&amp;C182, Лист2!$A$2:$A$505&amp;Лист2!$B$2:$B$505, Лист2!$E$2:$E$505)</f>
        <v>4025</v>
      </c>
      <c r="I182" s="16">
        <f t="shared" si="5"/>
        <v>1750.3333333333333</v>
      </c>
    </row>
    <row r="183" spans="1:9" ht="14.25" customHeight="1" x14ac:dyDescent="0.3">
      <c r="A183" s="8">
        <v>43974</v>
      </c>
      <c r="B183">
        <f t="shared" si="4"/>
        <v>21</v>
      </c>
      <c r="C183" s="9" t="s">
        <v>16</v>
      </c>
      <c r="D183" s="9">
        <v>89556</v>
      </c>
      <c r="E183" s="9">
        <v>7173117</v>
      </c>
      <c r="F183" s="7" cm="1">
        <f t="array" ref="F183">_xlfn.XLOOKUP(A183&amp;C183, Лист2!$A$2:$A$505&amp;Лист2!$B$2:$B$505, Лист2!$C$2:$C$505)</f>
        <v>36</v>
      </c>
      <c r="G183" s="15" cm="1">
        <f t="array" ref="G183">_xlfn.XLOOKUP(A183&amp;C183, Лист2!$A$2:$A$505&amp;Лист2!$B$2:$B$505, Лист2!$D$2:$D$505)</f>
        <v>5651</v>
      </c>
      <c r="H183" s="18" cm="1">
        <f t="array" ref="H183">_xlfn.XLOOKUP(A183&amp;C183, Лист2!$A$2:$A$505&amp;Лист2!$B$2:$B$505, Лист2!$E$2:$E$505)</f>
        <v>5212</v>
      </c>
      <c r="I183" s="16">
        <f t="shared" si="5"/>
        <v>2487.6666666666665</v>
      </c>
    </row>
    <row r="184" spans="1:9" ht="14.25" customHeight="1" x14ac:dyDescent="0.3">
      <c r="A184" s="5">
        <v>43979</v>
      </c>
      <c r="B184">
        <f t="shared" si="4"/>
        <v>22</v>
      </c>
      <c r="C184" s="6" t="s">
        <v>15</v>
      </c>
      <c r="D184" s="6">
        <v>364638</v>
      </c>
      <c r="E184" s="6">
        <v>37947688.5</v>
      </c>
      <c r="F184" s="7" cm="1">
        <f t="array" ref="F184">_xlfn.XLOOKUP(A184&amp;C184, Лист2!$A$2:$A$505&amp;Лист2!$B$2:$B$505, Лист2!$C$2:$C$505)</f>
        <v>124</v>
      </c>
      <c r="G184" s="15" cm="1">
        <f t="array" ref="G184">_xlfn.XLOOKUP(A184&amp;C184, Лист2!$A$2:$A$505&amp;Лист2!$B$2:$B$505, Лист2!$D$2:$D$505)</f>
        <v>20868</v>
      </c>
      <c r="H184" s="18" cm="1">
        <f t="array" ref="H184">_xlfn.XLOOKUP(A184&amp;C184, Лист2!$A$2:$A$505&amp;Лист2!$B$2:$B$505, Лист2!$E$2:$E$505)</f>
        <v>19342</v>
      </c>
      <c r="I184" s="16">
        <f t="shared" si="5"/>
        <v>2940.6290322580644</v>
      </c>
    </row>
    <row r="185" spans="1:9" ht="14.25" customHeight="1" x14ac:dyDescent="0.3">
      <c r="A185" s="8">
        <v>43976</v>
      </c>
      <c r="B185">
        <f t="shared" si="4"/>
        <v>22</v>
      </c>
      <c r="C185" s="9" t="s">
        <v>16</v>
      </c>
      <c r="D185" s="9">
        <v>66316.5</v>
      </c>
      <c r="E185" s="9">
        <v>5704650</v>
      </c>
      <c r="F185" s="7" cm="1">
        <f t="array" ref="F185">_xlfn.XLOOKUP(A185&amp;C185, Лист2!$A$2:$A$505&amp;Лист2!$B$2:$B$505, Лист2!$C$2:$C$505)</f>
        <v>36</v>
      </c>
      <c r="G185" s="15" cm="1">
        <f t="array" ref="G185">_xlfn.XLOOKUP(A185&amp;C185, Лист2!$A$2:$A$505&amp;Лист2!$B$2:$B$505, Лист2!$D$2:$D$505)</f>
        <v>4641</v>
      </c>
      <c r="H185" s="18" cm="1">
        <f t="array" ref="H185">_xlfn.XLOOKUP(A185&amp;C185, Лист2!$A$2:$A$505&amp;Лист2!$B$2:$B$505, Лист2!$E$2:$E$505)</f>
        <v>4274</v>
      </c>
      <c r="I185" s="16">
        <f t="shared" si="5"/>
        <v>1842.125</v>
      </c>
    </row>
    <row r="186" spans="1:9" ht="14.25" customHeight="1" x14ac:dyDescent="0.3">
      <c r="A186" s="5">
        <v>43951</v>
      </c>
      <c r="B186">
        <f t="shared" si="4"/>
        <v>18</v>
      </c>
      <c r="C186" s="6" t="s">
        <v>16</v>
      </c>
      <c r="D186" s="6">
        <v>78235.5</v>
      </c>
      <c r="E186" s="6">
        <v>6819594</v>
      </c>
      <c r="F186" s="7" cm="1">
        <f t="array" ref="F186">_xlfn.XLOOKUP(A186&amp;C186, Лист2!$A$2:$A$505&amp;Лист2!$B$2:$B$505, Лист2!$C$2:$C$505)</f>
        <v>36</v>
      </c>
      <c r="G186" s="15" cm="1">
        <f t="array" ref="G186">_xlfn.XLOOKUP(A186&amp;C186, Лист2!$A$2:$A$505&amp;Лист2!$B$2:$B$505, Лист2!$D$2:$D$505)</f>
        <v>5143</v>
      </c>
      <c r="H186" s="18" cm="1">
        <f t="array" ref="H186">_xlfn.XLOOKUP(A186&amp;C186, Лист2!$A$2:$A$505&amp;Лист2!$B$2:$B$505, Лист2!$E$2:$E$505)</f>
        <v>4715</v>
      </c>
      <c r="I186" s="16">
        <f t="shared" si="5"/>
        <v>2173.2083333333335</v>
      </c>
    </row>
    <row r="187" spans="1:9" ht="14.25" customHeight="1" x14ac:dyDescent="0.3">
      <c r="A187" s="8">
        <v>43961</v>
      </c>
      <c r="B187">
        <f t="shared" si="4"/>
        <v>19</v>
      </c>
      <c r="C187" s="9" t="s">
        <v>16</v>
      </c>
      <c r="D187" s="9">
        <v>88311</v>
      </c>
      <c r="E187" s="9">
        <v>7726069.5</v>
      </c>
      <c r="F187" s="7" cm="1">
        <f t="array" ref="F187">_xlfn.XLOOKUP(A187&amp;C187, Лист2!$A$2:$A$505&amp;Лист2!$B$2:$B$505, Лист2!$C$2:$C$505)</f>
        <v>36</v>
      </c>
      <c r="G187" s="15" cm="1">
        <f t="array" ref="G187">_xlfn.XLOOKUP(A187&amp;C187, Лист2!$A$2:$A$505&amp;Лист2!$B$2:$B$505, Лист2!$D$2:$D$505)</f>
        <v>5746</v>
      </c>
      <c r="H187" s="18" cm="1">
        <f t="array" ref="H187">_xlfn.XLOOKUP(A187&amp;C187, Лист2!$A$2:$A$505&amp;Лист2!$B$2:$B$505, Лист2!$E$2:$E$505)</f>
        <v>5277</v>
      </c>
      <c r="I187" s="16">
        <f t="shared" si="5"/>
        <v>2453.0833333333335</v>
      </c>
    </row>
    <row r="188" spans="1:9" ht="14.25" customHeight="1" x14ac:dyDescent="0.3">
      <c r="A188" s="5">
        <v>43959</v>
      </c>
      <c r="B188">
        <f t="shared" si="4"/>
        <v>19</v>
      </c>
      <c r="C188" s="6" t="s">
        <v>16</v>
      </c>
      <c r="D188" s="6">
        <v>61804.5</v>
      </c>
      <c r="E188" s="6">
        <v>5365708.5</v>
      </c>
      <c r="F188" s="7" cm="1">
        <f t="array" ref="F188">_xlfn.XLOOKUP(A188&amp;C188, Лист2!$A$2:$A$505&amp;Лист2!$B$2:$B$505, Лист2!$C$2:$C$505)</f>
        <v>36</v>
      </c>
      <c r="G188" s="15" cm="1">
        <f t="array" ref="G188">_xlfn.XLOOKUP(A188&amp;C188, Лист2!$A$2:$A$505&amp;Лист2!$B$2:$B$505, Лист2!$D$2:$D$505)</f>
        <v>4199</v>
      </c>
      <c r="H188" s="18" cm="1">
        <f t="array" ref="H188">_xlfn.XLOOKUP(A188&amp;C188, Лист2!$A$2:$A$505&amp;Лист2!$B$2:$B$505, Лист2!$E$2:$E$505)</f>
        <v>3867</v>
      </c>
      <c r="I188" s="16">
        <f t="shared" si="5"/>
        <v>1716.7916666666667</v>
      </c>
    </row>
    <row r="189" spans="1:9" ht="14.25" customHeight="1" x14ac:dyDescent="0.3">
      <c r="A189" s="8">
        <v>43958</v>
      </c>
      <c r="B189">
        <f t="shared" si="4"/>
        <v>19</v>
      </c>
      <c r="C189" s="9" t="s">
        <v>16</v>
      </c>
      <c r="D189" s="9">
        <v>71067</v>
      </c>
      <c r="E189" s="9">
        <v>6175837.5</v>
      </c>
      <c r="F189" s="7" cm="1">
        <f t="array" ref="F189">_xlfn.XLOOKUP(A189&amp;C189, Лист2!$A$2:$A$505&amp;Лист2!$B$2:$B$505, Лист2!$C$2:$C$505)</f>
        <v>36</v>
      </c>
      <c r="G189" s="15" cm="1">
        <f t="array" ref="G189">_xlfn.XLOOKUP(A189&amp;C189, Лист2!$A$2:$A$505&amp;Лист2!$B$2:$B$505, Лист2!$D$2:$D$505)</f>
        <v>4826</v>
      </c>
      <c r="H189" s="18" cm="1">
        <f t="array" ref="H189">_xlfn.XLOOKUP(A189&amp;C189, Лист2!$A$2:$A$505&amp;Лист2!$B$2:$B$505, Лист2!$E$2:$E$505)</f>
        <v>4426</v>
      </c>
      <c r="I189" s="16">
        <f t="shared" si="5"/>
        <v>1974.0833333333333</v>
      </c>
    </row>
    <row r="190" spans="1:9" ht="14.25" customHeight="1" x14ac:dyDescent="0.3">
      <c r="A190" s="5">
        <v>43975</v>
      </c>
      <c r="B190">
        <f t="shared" si="4"/>
        <v>21</v>
      </c>
      <c r="C190" s="6" t="s">
        <v>16</v>
      </c>
      <c r="D190" s="6">
        <v>74649</v>
      </c>
      <c r="E190" s="6">
        <v>6098236.5</v>
      </c>
      <c r="F190" s="7" cm="1">
        <f t="array" ref="F190">_xlfn.XLOOKUP(A190&amp;C190, Лист2!$A$2:$A$505&amp;Лист2!$B$2:$B$505, Лист2!$C$2:$C$505)</f>
        <v>36</v>
      </c>
      <c r="G190" s="15" cm="1">
        <f t="array" ref="G190">_xlfn.XLOOKUP(A190&amp;C190, Лист2!$A$2:$A$505&amp;Лист2!$B$2:$B$505, Лист2!$D$2:$D$505)</f>
        <v>4915</v>
      </c>
      <c r="H190" s="18" cm="1">
        <f t="array" ref="H190">_xlfn.XLOOKUP(A190&amp;C190, Лист2!$A$2:$A$505&amp;Лист2!$B$2:$B$505, Лист2!$E$2:$E$505)</f>
        <v>4562</v>
      </c>
      <c r="I190" s="16">
        <f t="shared" si="5"/>
        <v>2073.5833333333335</v>
      </c>
    </row>
    <row r="191" spans="1:9" ht="14.25" customHeight="1" x14ac:dyDescent="0.3">
      <c r="A191" s="8">
        <v>43967</v>
      </c>
      <c r="B191">
        <f t="shared" si="4"/>
        <v>20</v>
      </c>
      <c r="C191" s="9" t="s">
        <v>17</v>
      </c>
      <c r="D191" s="9">
        <v>44560.5</v>
      </c>
      <c r="E191" s="9">
        <v>4025148</v>
      </c>
      <c r="F191" s="7" cm="1">
        <f t="array" ref="F191">_xlfn.XLOOKUP(A191&amp;C191, Лист2!$A$2:$A$505&amp;Лист2!$B$2:$B$505, Лист2!$C$2:$C$505)</f>
        <v>21</v>
      </c>
      <c r="G191" s="15" cm="1">
        <f t="array" ref="G191">_xlfn.XLOOKUP(A191&amp;C191, Лист2!$A$2:$A$505&amp;Лист2!$B$2:$B$505, Лист2!$D$2:$D$505)</f>
        <v>2427</v>
      </c>
      <c r="H191" s="18" cm="1">
        <f t="array" ref="H191">_xlfn.XLOOKUP(A191&amp;C191, Лист2!$A$2:$A$505&amp;Лист2!$B$2:$B$505, Лист2!$E$2:$E$505)</f>
        <v>2213</v>
      </c>
      <c r="I191" s="16">
        <f t="shared" si="5"/>
        <v>2121.9285714285716</v>
      </c>
    </row>
    <row r="192" spans="1:9" ht="14.25" customHeight="1" x14ac:dyDescent="0.3">
      <c r="A192" s="5">
        <v>43970</v>
      </c>
      <c r="B192">
        <f t="shared" si="4"/>
        <v>21</v>
      </c>
      <c r="C192" s="6" t="s">
        <v>17</v>
      </c>
      <c r="D192" s="6">
        <v>38250</v>
      </c>
      <c r="E192" s="6">
        <v>3552937.5</v>
      </c>
      <c r="F192" s="7" cm="1">
        <f t="array" ref="F192">_xlfn.XLOOKUP(A192&amp;C192, Лист2!$A$2:$A$505&amp;Лист2!$B$2:$B$505, Лист2!$C$2:$C$505)</f>
        <v>21</v>
      </c>
      <c r="G192" s="15" cm="1">
        <f t="array" ref="G192">_xlfn.XLOOKUP(A192&amp;C192, Лист2!$A$2:$A$505&amp;Лист2!$B$2:$B$505, Лист2!$D$2:$D$505)</f>
        <v>2245</v>
      </c>
      <c r="H192" s="18" cm="1">
        <f t="array" ref="H192">_xlfn.XLOOKUP(A192&amp;C192, Лист2!$A$2:$A$505&amp;Лист2!$B$2:$B$505, Лист2!$E$2:$E$505)</f>
        <v>2053</v>
      </c>
      <c r="I192" s="16">
        <f t="shared" si="5"/>
        <v>1821.4285714285713</v>
      </c>
    </row>
    <row r="193" spans="1:9" ht="14.25" customHeight="1" x14ac:dyDescent="0.3">
      <c r="A193" s="8">
        <v>43968</v>
      </c>
      <c r="B193">
        <f t="shared" si="4"/>
        <v>20</v>
      </c>
      <c r="C193" s="9" t="s">
        <v>17</v>
      </c>
      <c r="D193" s="9">
        <v>34830</v>
      </c>
      <c r="E193" s="9">
        <v>3191155.5</v>
      </c>
      <c r="F193" s="7" cm="1">
        <f t="array" ref="F193">_xlfn.XLOOKUP(A193&amp;C193, Лист2!$A$2:$A$505&amp;Лист2!$B$2:$B$505, Лист2!$C$2:$C$505)</f>
        <v>21</v>
      </c>
      <c r="G193" s="15" cm="1">
        <f t="array" ref="G193">_xlfn.XLOOKUP(A193&amp;C193, Лист2!$A$2:$A$505&amp;Лист2!$B$2:$B$505, Лист2!$D$2:$D$505)</f>
        <v>2054</v>
      </c>
      <c r="H193" s="18" cm="1">
        <f t="array" ref="H193">_xlfn.XLOOKUP(A193&amp;C193, Лист2!$A$2:$A$505&amp;Лист2!$B$2:$B$505, Лист2!$E$2:$E$505)</f>
        <v>1883</v>
      </c>
      <c r="I193" s="16">
        <f t="shared" si="5"/>
        <v>1658.5714285714287</v>
      </c>
    </row>
    <row r="194" spans="1:9" ht="14.25" customHeight="1" x14ac:dyDescent="0.3">
      <c r="A194" s="5">
        <v>43960</v>
      </c>
      <c r="B194">
        <f t="shared" si="4"/>
        <v>19</v>
      </c>
      <c r="C194" s="6" t="s">
        <v>17</v>
      </c>
      <c r="D194" s="6">
        <v>32239.5</v>
      </c>
      <c r="E194" s="6">
        <v>3084892.5</v>
      </c>
      <c r="F194" s="7" cm="1">
        <f t="array" ref="F194">_xlfn.XLOOKUP(A194&amp;C194, Лист2!$A$2:$A$505&amp;Лист2!$B$2:$B$505, Лист2!$C$2:$C$505)</f>
        <v>21</v>
      </c>
      <c r="G194" s="15" cm="1">
        <f t="array" ref="G194">_xlfn.XLOOKUP(A194&amp;C194, Лист2!$A$2:$A$505&amp;Лист2!$B$2:$B$505, Лист2!$D$2:$D$505)</f>
        <v>1891</v>
      </c>
      <c r="H194" s="18" cm="1">
        <f t="array" ref="H194">_xlfn.XLOOKUP(A194&amp;C194, Лист2!$A$2:$A$505&amp;Лист2!$B$2:$B$505, Лист2!$E$2:$E$505)</f>
        <v>1709</v>
      </c>
      <c r="I194" s="16">
        <f t="shared" si="5"/>
        <v>1535.2142857142858</v>
      </c>
    </row>
    <row r="195" spans="1:9" ht="14.25" customHeight="1" x14ac:dyDescent="0.3">
      <c r="A195" s="8">
        <v>43955</v>
      </c>
      <c r="B195">
        <f t="shared" ref="B195:B258" si="6">WEEKNUM(A195, 2)</f>
        <v>19</v>
      </c>
      <c r="C195" s="9" t="s">
        <v>17</v>
      </c>
      <c r="D195" s="9">
        <v>30780</v>
      </c>
      <c r="E195" s="9">
        <v>2817853.5</v>
      </c>
      <c r="F195" s="7" cm="1">
        <f t="array" ref="F195">_xlfn.XLOOKUP(A195&amp;C195, Лист2!$A$2:$A$505&amp;Лист2!$B$2:$B$505, Лист2!$C$2:$C$505)</f>
        <v>20</v>
      </c>
      <c r="G195" s="15" cm="1">
        <f t="array" ref="G195">_xlfn.XLOOKUP(A195&amp;C195, Лист2!$A$2:$A$505&amp;Лист2!$B$2:$B$505, Лист2!$D$2:$D$505)</f>
        <v>1804</v>
      </c>
      <c r="H195" s="18" cm="1">
        <f t="array" ref="H195">_xlfn.XLOOKUP(A195&amp;C195, Лист2!$A$2:$A$505&amp;Лист2!$B$2:$B$505, Лист2!$E$2:$E$505)</f>
        <v>1638</v>
      </c>
      <c r="I195" s="16">
        <f t="shared" ref="I195:I258" si="7">D195/F195</f>
        <v>1539</v>
      </c>
    </row>
    <row r="196" spans="1:9" ht="14.25" customHeight="1" x14ac:dyDescent="0.3">
      <c r="A196" s="5">
        <v>43950</v>
      </c>
      <c r="B196">
        <f t="shared" si="6"/>
        <v>18</v>
      </c>
      <c r="C196" s="6" t="s">
        <v>17</v>
      </c>
      <c r="D196" s="6">
        <v>29142</v>
      </c>
      <c r="E196" s="6">
        <v>2627595</v>
      </c>
      <c r="F196" s="7" cm="1">
        <f t="array" ref="F196">_xlfn.XLOOKUP(A196&amp;C196, Лист2!$A$2:$A$505&amp;Лист2!$B$2:$B$505, Лист2!$C$2:$C$505)</f>
        <v>19</v>
      </c>
      <c r="G196" s="15" cm="1">
        <f t="array" ref="G196">_xlfn.XLOOKUP(A196&amp;C196, Лист2!$A$2:$A$505&amp;Лист2!$B$2:$B$505, Лист2!$D$2:$D$505)</f>
        <v>1676</v>
      </c>
      <c r="H196" s="18" cm="1">
        <f t="array" ref="H196">_xlfn.XLOOKUP(A196&amp;C196, Лист2!$A$2:$A$505&amp;Лист2!$B$2:$B$505, Лист2!$E$2:$E$505)</f>
        <v>1516</v>
      </c>
      <c r="I196" s="16">
        <f t="shared" si="7"/>
        <v>1533.7894736842106</v>
      </c>
    </row>
    <row r="197" spans="1:9" ht="14.25" customHeight="1" x14ac:dyDescent="0.3">
      <c r="A197" s="8">
        <v>43953</v>
      </c>
      <c r="B197">
        <f t="shared" si="6"/>
        <v>18</v>
      </c>
      <c r="C197" s="9" t="s">
        <v>17</v>
      </c>
      <c r="D197" s="9">
        <v>26428.5</v>
      </c>
      <c r="E197" s="9">
        <v>2470465.5</v>
      </c>
      <c r="F197" s="7" cm="1">
        <f t="array" ref="F197">_xlfn.XLOOKUP(A197&amp;C197, Лист2!$A$2:$A$505&amp;Лист2!$B$2:$B$505, Лист2!$C$2:$C$505)</f>
        <v>20</v>
      </c>
      <c r="G197" s="15" cm="1">
        <f t="array" ref="G197">_xlfn.XLOOKUP(A197&amp;C197, Лист2!$A$2:$A$505&amp;Лист2!$B$2:$B$505, Лист2!$D$2:$D$505)</f>
        <v>1613</v>
      </c>
      <c r="H197" s="18" cm="1">
        <f t="array" ref="H197">_xlfn.XLOOKUP(A197&amp;C197, Лист2!$A$2:$A$505&amp;Лист2!$B$2:$B$505, Лист2!$E$2:$E$505)</f>
        <v>1457</v>
      </c>
      <c r="I197" s="16">
        <f t="shared" si="7"/>
        <v>1321.425</v>
      </c>
    </row>
    <row r="198" spans="1:9" ht="14.25" customHeight="1" x14ac:dyDescent="0.3">
      <c r="A198" s="5">
        <v>43977</v>
      </c>
      <c r="B198">
        <f t="shared" si="6"/>
        <v>22</v>
      </c>
      <c r="C198" s="6" t="s">
        <v>17</v>
      </c>
      <c r="D198" s="6">
        <v>40744.5</v>
      </c>
      <c r="E198" s="6">
        <v>3700311</v>
      </c>
      <c r="F198" s="7" cm="1">
        <f t="array" ref="F198">_xlfn.XLOOKUP(A198&amp;C198, Лист2!$A$2:$A$505&amp;Лист2!$B$2:$B$505, Лист2!$C$2:$C$505)</f>
        <v>21</v>
      </c>
      <c r="G198" s="15" cm="1">
        <f t="array" ref="G198">_xlfn.XLOOKUP(A198&amp;C198, Лист2!$A$2:$A$505&amp;Лист2!$B$2:$B$505, Лист2!$D$2:$D$505)</f>
        <v>2418</v>
      </c>
      <c r="H198" s="18" cm="1">
        <f t="array" ref="H198">_xlfn.XLOOKUP(A198&amp;C198, Лист2!$A$2:$A$505&amp;Лист2!$B$2:$B$505, Лист2!$E$2:$E$505)</f>
        <v>2215</v>
      </c>
      <c r="I198" s="16">
        <f t="shared" si="7"/>
        <v>1940.2142857142858</v>
      </c>
    </row>
    <row r="199" spans="1:9" ht="14.25" customHeight="1" x14ac:dyDescent="0.3">
      <c r="A199" s="8">
        <v>43952</v>
      </c>
      <c r="B199">
        <f t="shared" si="6"/>
        <v>18</v>
      </c>
      <c r="C199" s="9" t="s">
        <v>17</v>
      </c>
      <c r="D199" s="9">
        <v>46620</v>
      </c>
      <c r="E199" s="9">
        <v>4293241.5</v>
      </c>
      <c r="F199" s="7" cm="1">
        <f t="array" ref="F199">_xlfn.XLOOKUP(A199&amp;C199, Лист2!$A$2:$A$505&amp;Лист2!$B$2:$B$505, Лист2!$C$2:$C$505)</f>
        <v>20</v>
      </c>
      <c r="G199" s="15" cm="1">
        <f t="array" ref="G199">_xlfn.XLOOKUP(A199&amp;C199, Лист2!$A$2:$A$505&amp;Лист2!$B$2:$B$505, Лист2!$D$2:$D$505)</f>
        <v>2468</v>
      </c>
      <c r="H199" s="18" cm="1">
        <f t="array" ref="H199">_xlfn.XLOOKUP(A199&amp;C199, Лист2!$A$2:$A$505&amp;Лист2!$B$2:$B$505, Лист2!$E$2:$E$505)</f>
        <v>2221</v>
      </c>
      <c r="I199" s="16">
        <f t="shared" si="7"/>
        <v>2331</v>
      </c>
    </row>
    <row r="200" spans="1:9" ht="14.25" customHeight="1" x14ac:dyDescent="0.3">
      <c r="A200" s="5">
        <v>43963</v>
      </c>
      <c r="B200">
        <f t="shared" si="6"/>
        <v>20</v>
      </c>
      <c r="C200" s="6" t="s">
        <v>17</v>
      </c>
      <c r="D200" s="6">
        <v>32419.5</v>
      </c>
      <c r="E200" s="6">
        <v>3080614.5</v>
      </c>
      <c r="F200" s="7" cm="1">
        <f t="array" ref="F200">_xlfn.XLOOKUP(A200&amp;C200, Лист2!$A$2:$A$505&amp;Лист2!$B$2:$B$505, Лист2!$C$2:$C$505)</f>
        <v>21</v>
      </c>
      <c r="G200" s="15" cm="1">
        <f t="array" ref="G200">_xlfn.XLOOKUP(A200&amp;C200, Лист2!$A$2:$A$505&amp;Лист2!$B$2:$B$505, Лист2!$D$2:$D$505)</f>
        <v>1926</v>
      </c>
      <c r="H200" s="18" cm="1">
        <f t="array" ref="H200">_xlfn.XLOOKUP(A200&amp;C200, Лист2!$A$2:$A$505&amp;Лист2!$B$2:$B$505, Лист2!$E$2:$E$505)</f>
        <v>1745</v>
      </c>
      <c r="I200" s="16">
        <f t="shared" si="7"/>
        <v>1543.7857142857142</v>
      </c>
    </row>
    <row r="201" spans="1:9" ht="14.25" customHeight="1" x14ac:dyDescent="0.3">
      <c r="A201" s="8">
        <v>43972</v>
      </c>
      <c r="B201">
        <f t="shared" si="6"/>
        <v>21</v>
      </c>
      <c r="C201" s="9" t="s">
        <v>17</v>
      </c>
      <c r="D201" s="9">
        <v>40819.5</v>
      </c>
      <c r="E201" s="9">
        <v>3810394.5</v>
      </c>
      <c r="F201" s="7" cm="1">
        <f t="array" ref="F201">_xlfn.XLOOKUP(A201&amp;C201, Лист2!$A$2:$A$505&amp;Лист2!$B$2:$B$505, Лист2!$C$2:$C$505)</f>
        <v>21</v>
      </c>
      <c r="G201" s="15" cm="1">
        <f t="array" ref="G201">_xlfn.XLOOKUP(A201&amp;C201, Лист2!$A$2:$A$505&amp;Лист2!$B$2:$B$505, Лист2!$D$2:$D$505)</f>
        <v>2335</v>
      </c>
      <c r="H201" s="18" cm="1">
        <f t="array" ref="H201">_xlfn.XLOOKUP(A201&amp;C201, Лист2!$A$2:$A$505&amp;Лист2!$B$2:$B$505, Лист2!$E$2:$E$505)</f>
        <v>2126</v>
      </c>
      <c r="I201" s="16">
        <f t="shared" si="7"/>
        <v>1943.7857142857142</v>
      </c>
    </row>
    <row r="202" spans="1:9" ht="14.25" customHeight="1" x14ac:dyDescent="0.3">
      <c r="A202" s="5">
        <v>43971</v>
      </c>
      <c r="B202">
        <f t="shared" si="6"/>
        <v>21</v>
      </c>
      <c r="C202" s="6" t="s">
        <v>17</v>
      </c>
      <c r="D202" s="6">
        <v>41391</v>
      </c>
      <c r="E202" s="6">
        <v>3918987</v>
      </c>
      <c r="F202" s="7" cm="1">
        <f t="array" ref="F202">_xlfn.XLOOKUP(A202&amp;C202, Лист2!$A$2:$A$505&amp;Лист2!$B$2:$B$505, Лист2!$C$2:$C$505)</f>
        <v>21</v>
      </c>
      <c r="G202" s="15" cm="1">
        <f t="array" ref="G202">_xlfn.XLOOKUP(A202&amp;C202, Лист2!$A$2:$A$505&amp;Лист2!$B$2:$B$505, Лист2!$D$2:$D$505)</f>
        <v>2410</v>
      </c>
      <c r="H202" s="18" cm="1">
        <f t="array" ref="H202">_xlfn.XLOOKUP(A202&amp;C202, Лист2!$A$2:$A$505&amp;Лист2!$B$2:$B$505, Лист2!$E$2:$E$505)</f>
        <v>2202</v>
      </c>
      <c r="I202" s="16">
        <f t="shared" si="7"/>
        <v>1971</v>
      </c>
    </row>
    <row r="203" spans="1:9" ht="14.25" customHeight="1" x14ac:dyDescent="0.3">
      <c r="A203" s="8">
        <v>43956</v>
      </c>
      <c r="B203">
        <f t="shared" si="6"/>
        <v>19</v>
      </c>
      <c r="C203" s="9" t="s">
        <v>17</v>
      </c>
      <c r="D203" s="9">
        <v>29482.5</v>
      </c>
      <c r="E203" s="9">
        <v>2648688</v>
      </c>
      <c r="F203" s="7" cm="1">
        <f t="array" ref="F203">_xlfn.XLOOKUP(A203&amp;C203, Лист2!$A$2:$A$505&amp;Лист2!$B$2:$B$505, Лист2!$C$2:$C$505)</f>
        <v>20</v>
      </c>
      <c r="G203" s="15" cm="1">
        <f t="array" ref="G203">_xlfn.XLOOKUP(A203&amp;C203, Лист2!$A$2:$A$505&amp;Лист2!$B$2:$B$505, Лист2!$D$2:$D$505)</f>
        <v>1757</v>
      </c>
      <c r="H203" s="18" cm="1">
        <f t="array" ref="H203">_xlfn.XLOOKUP(A203&amp;C203, Лист2!$A$2:$A$505&amp;Лист2!$B$2:$B$505, Лист2!$E$2:$E$505)</f>
        <v>1596</v>
      </c>
      <c r="I203" s="16">
        <f t="shared" si="7"/>
        <v>1474.125</v>
      </c>
    </row>
    <row r="204" spans="1:9" ht="14.25" customHeight="1" x14ac:dyDescent="0.3">
      <c r="A204" s="5">
        <v>43949</v>
      </c>
      <c r="B204">
        <f t="shared" si="6"/>
        <v>18</v>
      </c>
      <c r="C204" s="6" t="s">
        <v>17</v>
      </c>
      <c r="D204" s="6">
        <v>32181</v>
      </c>
      <c r="E204" s="6">
        <v>2863600.5</v>
      </c>
      <c r="F204" s="7" cm="1">
        <f t="array" ref="F204">_xlfn.XLOOKUP(A204&amp;C204, Лист2!$A$2:$A$505&amp;Лист2!$B$2:$B$505, Лист2!$C$2:$C$505)</f>
        <v>19</v>
      </c>
      <c r="G204" s="15" cm="1">
        <f t="array" ref="G204">_xlfn.XLOOKUP(A204&amp;C204, Лист2!$A$2:$A$505&amp;Лист2!$B$2:$B$505, Лист2!$D$2:$D$505)</f>
        <v>1846</v>
      </c>
      <c r="H204" s="18" cm="1">
        <f t="array" ref="H204">_xlfn.XLOOKUP(A204&amp;C204, Лист2!$A$2:$A$505&amp;Лист2!$B$2:$B$505, Лист2!$E$2:$E$505)</f>
        <v>1681</v>
      </c>
      <c r="I204" s="16">
        <f t="shared" si="7"/>
        <v>1693.7368421052631</v>
      </c>
    </row>
    <row r="205" spans="1:9" ht="14.25" customHeight="1" x14ac:dyDescent="0.3">
      <c r="A205" s="8">
        <v>43964</v>
      </c>
      <c r="B205">
        <f t="shared" si="6"/>
        <v>20</v>
      </c>
      <c r="C205" s="9" t="s">
        <v>17</v>
      </c>
      <c r="D205" s="9">
        <v>35535</v>
      </c>
      <c r="E205" s="9">
        <v>3288069</v>
      </c>
      <c r="F205" s="7" cm="1">
        <f t="array" ref="F205">_xlfn.XLOOKUP(A205&amp;C205, Лист2!$A$2:$A$505&amp;Лист2!$B$2:$B$505, Лист2!$C$2:$C$505)</f>
        <v>21</v>
      </c>
      <c r="G205" s="15" cm="1">
        <f t="array" ref="G205">_xlfn.XLOOKUP(A205&amp;C205, Лист2!$A$2:$A$505&amp;Лист2!$B$2:$B$505, Лист2!$D$2:$D$505)</f>
        <v>2061</v>
      </c>
      <c r="H205" s="18" cm="1">
        <f t="array" ref="H205">_xlfn.XLOOKUP(A205&amp;C205, Лист2!$A$2:$A$505&amp;Лист2!$B$2:$B$505, Лист2!$E$2:$E$505)</f>
        <v>1876</v>
      </c>
      <c r="I205" s="16">
        <f t="shared" si="7"/>
        <v>1692.1428571428571</v>
      </c>
    </row>
    <row r="206" spans="1:9" ht="14.25" customHeight="1" x14ac:dyDescent="0.3">
      <c r="A206" s="5">
        <v>43982</v>
      </c>
      <c r="B206">
        <f t="shared" si="6"/>
        <v>22</v>
      </c>
      <c r="C206" s="6" t="s">
        <v>16</v>
      </c>
      <c r="D206" s="6">
        <v>76234.5</v>
      </c>
      <c r="E206" s="6">
        <v>6500848.5</v>
      </c>
      <c r="F206" s="7" cm="1">
        <f t="array" ref="F206">_xlfn.XLOOKUP(A206&amp;C206, Лист2!$A$2:$A$505&amp;Лист2!$B$2:$B$505, Лист2!$C$2:$C$505)</f>
        <v>37</v>
      </c>
      <c r="G206" s="15" cm="1">
        <f t="array" ref="G206">_xlfn.XLOOKUP(A206&amp;C206, Лист2!$A$2:$A$505&amp;Лист2!$B$2:$B$505, Лист2!$D$2:$D$505)</f>
        <v>5215</v>
      </c>
      <c r="H206" s="18" cm="1">
        <f t="array" ref="H206">_xlfn.XLOOKUP(A206&amp;C206, Лист2!$A$2:$A$505&amp;Лист2!$B$2:$B$505, Лист2!$E$2:$E$505)</f>
        <v>4848</v>
      </c>
      <c r="I206" s="16">
        <f t="shared" si="7"/>
        <v>2060.3918918918921</v>
      </c>
    </row>
    <row r="207" spans="1:9" ht="14.25" customHeight="1" x14ac:dyDescent="0.3">
      <c r="A207" s="8">
        <v>43954</v>
      </c>
      <c r="B207">
        <f t="shared" si="6"/>
        <v>18</v>
      </c>
      <c r="C207" s="9" t="s">
        <v>17</v>
      </c>
      <c r="D207" s="9">
        <v>29935.5</v>
      </c>
      <c r="E207" s="9">
        <v>2720002.5</v>
      </c>
      <c r="F207" s="7" cm="1">
        <f t="array" ref="F207">_xlfn.XLOOKUP(A207&amp;C207, Лист2!$A$2:$A$505&amp;Лист2!$B$2:$B$505, Лист2!$C$2:$C$505)</f>
        <v>20</v>
      </c>
      <c r="G207" s="15" cm="1">
        <f t="array" ref="G207">_xlfn.XLOOKUP(A207&amp;C207, Лист2!$A$2:$A$505&amp;Лист2!$B$2:$B$505, Лист2!$D$2:$D$505)</f>
        <v>1716</v>
      </c>
      <c r="H207" s="18" cm="1">
        <f t="array" ref="H207">_xlfn.XLOOKUP(A207&amp;C207, Лист2!$A$2:$A$505&amp;Лист2!$B$2:$B$505, Лист2!$E$2:$E$505)</f>
        <v>1561</v>
      </c>
      <c r="I207" s="16">
        <f t="shared" si="7"/>
        <v>1496.7750000000001</v>
      </c>
    </row>
    <row r="208" spans="1:9" ht="14.25" customHeight="1" x14ac:dyDescent="0.3">
      <c r="A208" s="5">
        <v>43981</v>
      </c>
      <c r="B208">
        <f t="shared" si="6"/>
        <v>22</v>
      </c>
      <c r="C208" s="6" t="s">
        <v>16</v>
      </c>
      <c r="D208" s="6">
        <v>106926</v>
      </c>
      <c r="E208" s="6">
        <v>9098386.5</v>
      </c>
      <c r="F208" s="7" cm="1">
        <f t="array" ref="F208">_xlfn.XLOOKUP(A208&amp;C208, Лист2!$A$2:$A$505&amp;Лист2!$B$2:$B$505, Лист2!$C$2:$C$505)</f>
        <v>37</v>
      </c>
      <c r="G208" s="15" cm="1">
        <f t="array" ref="G208">_xlfn.XLOOKUP(A208&amp;C208, Лист2!$A$2:$A$505&amp;Лист2!$B$2:$B$505, Лист2!$D$2:$D$505)</f>
        <v>6645</v>
      </c>
      <c r="H208" s="18" cm="1">
        <f t="array" ref="H208">_xlfn.XLOOKUP(A208&amp;C208, Лист2!$A$2:$A$505&amp;Лист2!$B$2:$B$505, Лист2!$E$2:$E$505)</f>
        <v>6122</v>
      </c>
      <c r="I208" s="16">
        <f t="shared" si="7"/>
        <v>2889.8918918918921</v>
      </c>
    </row>
    <row r="209" spans="1:9" ht="14.25" customHeight="1" x14ac:dyDescent="0.3">
      <c r="A209" s="8">
        <v>43957</v>
      </c>
      <c r="B209">
        <f t="shared" si="6"/>
        <v>19</v>
      </c>
      <c r="C209" s="9" t="s">
        <v>17</v>
      </c>
      <c r="D209" s="9">
        <v>30342</v>
      </c>
      <c r="E209" s="9">
        <v>2738127</v>
      </c>
      <c r="F209" s="7" cm="1">
        <f t="array" ref="F209">_xlfn.XLOOKUP(A209&amp;C209, Лист2!$A$2:$A$505&amp;Лист2!$B$2:$B$505, Лист2!$C$2:$C$505)</f>
        <v>20</v>
      </c>
      <c r="G209" s="15" cm="1">
        <f t="array" ref="G209">_xlfn.XLOOKUP(A209&amp;C209, Лист2!$A$2:$A$505&amp;Лист2!$B$2:$B$505, Лист2!$D$2:$D$505)</f>
        <v>1747</v>
      </c>
      <c r="H209" s="18" cm="1">
        <f t="array" ref="H209">_xlfn.XLOOKUP(A209&amp;C209, Лист2!$A$2:$A$505&amp;Лист2!$B$2:$B$505, Лист2!$E$2:$E$505)</f>
        <v>1570</v>
      </c>
      <c r="I209" s="16">
        <f t="shared" si="7"/>
        <v>1517.1</v>
      </c>
    </row>
    <row r="210" spans="1:9" ht="14.25" customHeight="1" x14ac:dyDescent="0.3">
      <c r="A210" s="5">
        <v>43974</v>
      </c>
      <c r="B210">
        <f t="shared" si="6"/>
        <v>21</v>
      </c>
      <c r="C210" s="6" t="s">
        <v>17</v>
      </c>
      <c r="D210" s="6">
        <v>42999</v>
      </c>
      <c r="E210" s="6">
        <v>3883215</v>
      </c>
      <c r="F210" s="7" cm="1">
        <f t="array" ref="F210">_xlfn.XLOOKUP(A210&amp;C210, Лист2!$A$2:$A$505&amp;Лист2!$B$2:$B$505, Лист2!$C$2:$C$505)</f>
        <v>21</v>
      </c>
      <c r="G210" s="15" cm="1">
        <f t="array" ref="G210">_xlfn.XLOOKUP(A210&amp;C210, Лист2!$A$2:$A$505&amp;Лист2!$B$2:$B$505, Лист2!$D$2:$D$505)</f>
        <v>2460</v>
      </c>
      <c r="H210" s="18" cm="1">
        <f t="array" ref="H210">_xlfn.XLOOKUP(A210&amp;C210, Лист2!$A$2:$A$505&amp;Лист2!$B$2:$B$505, Лист2!$E$2:$E$505)</f>
        <v>2226</v>
      </c>
      <c r="I210" s="16">
        <f t="shared" si="7"/>
        <v>2047.5714285714287</v>
      </c>
    </row>
    <row r="211" spans="1:9" ht="14.25" customHeight="1" x14ac:dyDescent="0.3">
      <c r="A211" s="8">
        <v>43979</v>
      </c>
      <c r="B211">
        <f t="shared" si="6"/>
        <v>22</v>
      </c>
      <c r="C211" s="9" t="s">
        <v>16</v>
      </c>
      <c r="D211" s="9">
        <v>69945</v>
      </c>
      <c r="E211" s="9">
        <v>6101931</v>
      </c>
      <c r="F211" s="7" cm="1">
        <f t="array" ref="F211">_xlfn.XLOOKUP(A211&amp;C211, Лист2!$A$2:$A$505&amp;Лист2!$B$2:$B$505, Лист2!$C$2:$C$505)</f>
        <v>37</v>
      </c>
      <c r="G211" s="15" cm="1">
        <f t="array" ref="G211">_xlfn.XLOOKUP(A211&amp;C211, Лист2!$A$2:$A$505&amp;Лист2!$B$2:$B$505, Лист2!$D$2:$D$505)</f>
        <v>4840</v>
      </c>
      <c r="H211" s="18" cm="1">
        <f t="array" ref="H211">_xlfn.XLOOKUP(A211&amp;C211, Лист2!$A$2:$A$505&amp;Лист2!$B$2:$B$505, Лист2!$E$2:$E$505)</f>
        <v>4475</v>
      </c>
      <c r="I211" s="16">
        <f t="shared" si="7"/>
        <v>1890.4054054054054</v>
      </c>
    </row>
    <row r="212" spans="1:9" ht="14.25" customHeight="1" x14ac:dyDescent="0.3">
      <c r="A212" s="5">
        <v>43976</v>
      </c>
      <c r="B212">
        <f t="shared" si="6"/>
        <v>22</v>
      </c>
      <c r="C212" s="6" t="s">
        <v>17</v>
      </c>
      <c r="D212" s="6">
        <v>38740.5</v>
      </c>
      <c r="E212" s="6">
        <v>3561655.5</v>
      </c>
      <c r="F212" s="7" cm="1">
        <f t="array" ref="F212">_xlfn.XLOOKUP(A212&amp;C212, Лист2!$A$2:$A$505&amp;Лист2!$B$2:$B$505, Лист2!$C$2:$C$505)</f>
        <v>21</v>
      </c>
      <c r="G212" s="15" cm="1">
        <f t="array" ref="G212">_xlfn.XLOOKUP(A212&amp;C212, Лист2!$A$2:$A$505&amp;Лист2!$B$2:$B$505, Лист2!$D$2:$D$505)</f>
        <v>2330</v>
      </c>
      <c r="H212" s="18" cm="1">
        <f t="array" ref="H212">_xlfn.XLOOKUP(A212&amp;C212, Лист2!$A$2:$A$505&amp;Лист2!$B$2:$B$505, Лист2!$E$2:$E$505)</f>
        <v>2142</v>
      </c>
      <c r="I212" s="16">
        <f t="shared" si="7"/>
        <v>1844.7857142857142</v>
      </c>
    </row>
    <row r="213" spans="1:9" ht="14.25" customHeight="1" x14ac:dyDescent="0.3">
      <c r="A213" s="8">
        <v>43951</v>
      </c>
      <c r="B213">
        <f t="shared" si="6"/>
        <v>18</v>
      </c>
      <c r="C213" s="9" t="s">
        <v>17</v>
      </c>
      <c r="D213" s="9">
        <v>31231.5</v>
      </c>
      <c r="E213" s="9">
        <v>2853310.5</v>
      </c>
      <c r="F213" s="7" cm="1">
        <f t="array" ref="F213">_xlfn.XLOOKUP(A213&amp;C213, Лист2!$A$2:$A$505&amp;Лист2!$B$2:$B$505, Лист2!$C$2:$C$505)</f>
        <v>20</v>
      </c>
      <c r="G213" s="15" cm="1">
        <f t="array" ref="G213">_xlfn.XLOOKUP(A213&amp;C213, Лист2!$A$2:$A$505&amp;Лист2!$B$2:$B$505, Лист2!$D$2:$D$505)</f>
        <v>1756</v>
      </c>
      <c r="H213" s="18" cm="1">
        <f t="array" ref="H213">_xlfn.XLOOKUP(A213&amp;C213, Лист2!$A$2:$A$505&amp;Лист2!$B$2:$B$505, Лист2!$E$2:$E$505)</f>
        <v>1586</v>
      </c>
      <c r="I213" s="16">
        <f t="shared" si="7"/>
        <v>1561.575</v>
      </c>
    </row>
    <row r="214" spans="1:9" ht="14.25" customHeight="1" x14ac:dyDescent="0.3">
      <c r="A214" s="5">
        <v>43961</v>
      </c>
      <c r="B214">
        <f t="shared" si="6"/>
        <v>19</v>
      </c>
      <c r="C214" s="6" t="s">
        <v>17</v>
      </c>
      <c r="D214" s="6">
        <v>37489.5</v>
      </c>
      <c r="E214" s="6">
        <v>3549097.5</v>
      </c>
      <c r="F214" s="7" cm="1">
        <f t="array" ref="F214">_xlfn.XLOOKUP(A214&amp;C214, Лист2!$A$2:$A$505&amp;Лист2!$B$2:$B$505, Лист2!$C$2:$C$505)</f>
        <v>21</v>
      </c>
      <c r="G214" s="15" cm="1">
        <f t="array" ref="G214">_xlfn.XLOOKUP(A214&amp;C214, Лист2!$A$2:$A$505&amp;Лист2!$B$2:$B$505, Лист2!$D$2:$D$505)</f>
        <v>2120</v>
      </c>
      <c r="H214" s="18" cm="1">
        <f t="array" ref="H214">_xlfn.XLOOKUP(A214&amp;C214, Лист2!$A$2:$A$505&amp;Лист2!$B$2:$B$505, Лист2!$E$2:$E$505)</f>
        <v>1921</v>
      </c>
      <c r="I214" s="16">
        <f t="shared" si="7"/>
        <v>1785.2142857142858</v>
      </c>
    </row>
    <row r="215" spans="1:9" ht="14.25" customHeight="1" x14ac:dyDescent="0.3">
      <c r="A215" s="8">
        <v>43959</v>
      </c>
      <c r="B215">
        <f t="shared" si="6"/>
        <v>19</v>
      </c>
      <c r="C215" s="9" t="s">
        <v>17</v>
      </c>
      <c r="D215" s="9">
        <v>34399.5</v>
      </c>
      <c r="E215" s="9">
        <v>3201358.5</v>
      </c>
      <c r="F215" s="7" cm="1">
        <f t="array" ref="F215">_xlfn.XLOOKUP(A215&amp;C215, Лист2!$A$2:$A$505&amp;Лист2!$B$2:$B$505, Лист2!$C$2:$C$505)</f>
        <v>21</v>
      </c>
      <c r="G215" s="15" cm="1">
        <f t="array" ref="G215">_xlfn.XLOOKUP(A215&amp;C215, Лист2!$A$2:$A$505&amp;Лист2!$B$2:$B$505, Лист2!$D$2:$D$505)</f>
        <v>1957</v>
      </c>
      <c r="H215" s="18" cm="1">
        <f t="array" ref="H215">_xlfn.XLOOKUP(A215&amp;C215, Лист2!$A$2:$A$505&amp;Лист2!$B$2:$B$505, Лист2!$E$2:$E$505)</f>
        <v>1755</v>
      </c>
      <c r="I215" s="16">
        <f t="shared" si="7"/>
        <v>1638.0714285714287</v>
      </c>
    </row>
    <row r="216" spans="1:9" ht="14.25" customHeight="1" x14ac:dyDescent="0.3">
      <c r="A216" s="5">
        <v>43958</v>
      </c>
      <c r="B216">
        <f t="shared" si="6"/>
        <v>19</v>
      </c>
      <c r="C216" s="6" t="s">
        <v>17</v>
      </c>
      <c r="D216" s="6">
        <v>32851.5</v>
      </c>
      <c r="E216" s="6">
        <v>2934504</v>
      </c>
      <c r="F216" s="7" cm="1">
        <f t="array" ref="F216">_xlfn.XLOOKUP(A216&amp;C216, Лист2!$A$2:$A$505&amp;Лист2!$B$2:$B$505, Лист2!$C$2:$C$505)</f>
        <v>21</v>
      </c>
      <c r="G216" s="15" cm="1">
        <f t="array" ref="G216">_xlfn.XLOOKUP(A216&amp;C216, Лист2!$A$2:$A$505&amp;Лист2!$B$2:$B$505, Лист2!$D$2:$D$505)</f>
        <v>1879</v>
      </c>
      <c r="H216" s="18" cm="1">
        <f t="array" ref="H216">_xlfn.XLOOKUP(A216&amp;C216, Лист2!$A$2:$A$505&amp;Лист2!$B$2:$B$505, Лист2!$E$2:$E$505)</f>
        <v>1695</v>
      </c>
      <c r="I216" s="16">
        <f t="shared" si="7"/>
        <v>1564.3571428571429</v>
      </c>
    </row>
    <row r="217" spans="1:9" ht="14.25" customHeight="1" x14ac:dyDescent="0.3">
      <c r="A217" s="8">
        <v>43975</v>
      </c>
      <c r="B217">
        <f t="shared" si="6"/>
        <v>21</v>
      </c>
      <c r="C217" s="9" t="s">
        <v>17</v>
      </c>
      <c r="D217" s="9">
        <v>38194.5</v>
      </c>
      <c r="E217" s="9">
        <v>3449302.5</v>
      </c>
      <c r="F217" s="7" cm="1">
        <f t="array" ref="F217">_xlfn.XLOOKUP(A217&amp;C217, Лист2!$A$2:$A$505&amp;Лист2!$B$2:$B$505, Лист2!$C$2:$C$505)</f>
        <v>21</v>
      </c>
      <c r="G217" s="15" cm="1">
        <f t="array" ref="G217">_xlfn.XLOOKUP(A217&amp;C217, Лист2!$A$2:$A$505&amp;Лист2!$B$2:$B$505, Лист2!$D$2:$D$505)</f>
        <v>2254</v>
      </c>
      <c r="H217" s="18" cm="1">
        <f t="array" ref="H217">_xlfn.XLOOKUP(A217&amp;C217, Лист2!$A$2:$A$505&amp;Лист2!$B$2:$B$505, Лист2!$E$2:$E$505)</f>
        <v>2061</v>
      </c>
      <c r="I217" s="16">
        <f t="shared" si="7"/>
        <v>1818.7857142857142</v>
      </c>
    </row>
    <row r="218" spans="1:9" ht="14.25" customHeight="1" x14ac:dyDescent="0.3">
      <c r="A218" s="5">
        <v>43982</v>
      </c>
      <c r="B218">
        <f t="shared" si="6"/>
        <v>22</v>
      </c>
      <c r="C218" s="6" t="s">
        <v>17</v>
      </c>
      <c r="D218" s="6">
        <v>42423</v>
      </c>
      <c r="E218" s="6">
        <v>3994153.5</v>
      </c>
      <c r="F218" s="7" cm="1">
        <f t="array" ref="F218">_xlfn.XLOOKUP(A218&amp;C218, Лист2!$A$2:$A$505&amp;Лист2!$B$2:$B$505, Лист2!$C$2:$C$505)</f>
        <v>23</v>
      </c>
      <c r="G218" s="15" cm="1">
        <f t="array" ref="G218">_xlfn.XLOOKUP(A218&amp;C218, Лист2!$A$2:$A$505&amp;Лист2!$B$2:$B$505, Лист2!$D$2:$D$505)</f>
        <v>2522</v>
      </c>
      <c r="H218" s="18" cm="1">
        <f t="array" ref="H218">_xlfn.XLOOKUP(A218&amp;C218, Лист2!$A$2:$A$505&amp;Лист2!$B$2:$B$505, Лист2!$E$2:$E$505)</f>
        <v>2295</v>
      </c>
      <c r="I218" s="16">
        <f t="shared" si="7"/>
        <v>1844.4782608695652</v>
      </c>
    </row>
    <row r="219" spans="1:9" ht="14.25" customHeight="1" x14ac:dyDescent="0.3">
      <c r="A219" s="8">
        <v>43981</v>
      </c>
      <c r="B219">
        <f t="shared" si="6"/>
        <v>22</v>
      </c>
      <c r="C219" s="9" t="s">
        <v>17</v>
      </c>
      <c r="D219" s="9">
        <v>48286.5</v>
      </c>
      <c r="E219" s="9">
        <v>4456441.5</v>
      </c>
      <c r="F219" s="7" cm="1">
        <f t="array" ref="F219">_xlfn.XLOOKUP(A219&amp;C219, Лист2!$A$2:$A$505&amp;Лист2!$B$2:$B$505, Лист2!$C$2:$C$505)</f>
        <v>22</v>
      </c>
      <c r="G219" s="15" cm="1">
        <f t="array" ref="G219">_xlfn.XLOOKUP(A219&amp;C219, Лист2!$A$2:$A$505&amp;Лист2!$B$2:$B$505, Лист2!$D$2:$D$505)</f>
        <v>2793</v>
      </c>
      <c r="H219" s="18" cm="1">
        <f t="array" ref="H219">_xlfn.XLOOKUP(A219&amp;C219, Лист2!$A$2:$A$505&amp;Лист2!$B$2:$B$505, Лист2!$E$2:$E$505)</f>
        <v>2539</v>
      </c>
      <c r="I219" s="16">
        <f t="shared" si="7"/>
        <v>2194.840909090909</v>
      </c>
    </row>
    <row r="220" spans="1:9" ht="14.25" customHeight="1" x14ac:dyDescent="0.3">
      <c r="A220" s="5">
        <v>43979</v>
      </c>
      <c r="B220">
        <f t="shared" si="6"/>
        <v>22</v>
      </c>
      <c r="C220" s="6" t="s">
        <v>17</v>
      </c>
      <c r="D220" s="6">
        <v>41442</v>
      </c>
      <c r="E220" s="6">
        <v>3893680.5</v>
      </c>
      <c r="F220" s="7" cm="1">
        <f t="array" ref="F220">_xlfn.XLOOKUP(A220&amp;C220, Лист2!$A$2:$A$505&amp;Лист2!$B$2:$B$505, Лист2!$C$2:$C$505)</f>
        <v>22</v>
      </c>
      <c r="G220" s="15" cm="1">
        <f t="array" ref="G220">_xlfn.XLOOKUP(A220&amp;C220, Лист2!$A$2:$A$505&amp;Лист2!$B$2:$B$505, Лист2!$D$2:$D$505)</f>
        <v>2454</v>
      </c>
      <c r="H220" s="18" cm="1">
        <f t="array" ref="H220">_xlfn.XLOOKUP(A220&amp;C220, Лист2!$A$2:$A$505&amp;Лист2!$B$2:$B$505, Лист2!$E$2:$E$505)</f>
        <v>2239</v>
      </c>
      <c r="I220" s="16">
        <f t="shared" si="7"/>
        <v>1883.7272727272727</v>
      </c>
    </row>
    <row r="221" spans="1:9" ht="14.25" customHeight="1" x14ac:dyDescent="0.3">
      <c r="A221" s="8">
        <v>43967</v>
      </c>
      <c r="B221">
        <f t="shared" si="6"/>
        <v>20</v>
      </c>
      <c r="C221" s="9" t="s">
        <v>18</v>
      </c>
      <c r="D221" s="9">
        <v>18600</v>
      </c>
      <c r="E221" s="9">
        <v>1601425.5</v>
      </c>
      <c r="F221" s="7" cm="1">
        <f t="array" ref="F221">_xlfn.XLOOKUP(A221&amp;C221, Лист2!$A$2:$A$505&amp;Лист2!$B$2:$B$505, Лист2!$C$2:$C$505)</f>
        <v>15</v>
      </c>
      <c r="G221" s="15" cm="1">
        <f t="array" ref="G221">_xlfn.XLOOKUP(A221&amp;C221, Лист2!$A$2:$A$505&amp;Лист2!$B$2:$B$505, Лист2!$D$2:$D$505)</f>
        <v>1111</v>
      </c>
      <c r="H221" s="18" cm="1">
        <f t="array" ref="H221">_xlfn.XLOOKUP(A221&amp;C221, Лист2!$A$2:$A$505&amp;Лист2!$B$2:$B$505, Лист2!$E$2:$E$505)</f>
        <v>992</v>
      </c>
      <c r="I221" s="16">
        <f t="shared" si="7"/>
        <v>1240</v>
      </c>
    </row>
    <row r="222" spans="1:9" ht="14.25" customHeight="1" x14ac:dyDescent="0.3">
      <c r="A222" s="5">
        <v>43970</v>
      </c>
      <c r="B222">
        <f t="shared" si="6"/>
        <v>21</v>
      </c>
      <c r="C222" s="6" t="s">
        <v>18</v>
      </c>
      <c r="D222" s="6">
        <v>16638</v>
      </c>
      <c r="E222" s="6">
        <v>1364847</v>
      </c>
      <c r="F222" s="7" cm="1">
        <f t="array" ref="F222">_xlfn.XLOOKUP(A222&amp;C222, Лист2!$A$2:$A$505&amp;Лист2!$B$2:$B$505, Лист2!$C$2:$C$505)</f>
        <v>16</v>
      </c>
      <c r="G222" s="15" cm="1">
        <f t="array" ref="G222">_xlfn.XLOOKUP(A222&amp;C222, Лист2!$A$2:$A$505&amp;Лист2!$B$2:$B$505, Лист2!$D$2:$D$505)</f>
        <v>1012</v>
      </c>
      <c r="H222" s="18" cm="1">
        <f t="array" ref="H222">_xlfn.XLOOKUP(A222&amp;C222, Лист2!$A$2:$A$505&amp;Лист2!$B$2:$B$505, Лист2!$E$2:$E$505)</f>
        <v>900</v>
      </c>
      <c r="I222" s="16">
        <f t="shared" si="7"/>
        <v>1039.875</v>
      </c>
    </row>
    <row r="223" spans="1:9" ht="14.25" customHeight="1" x14ac:dyDescent="0.3">
      <c r="A223" s="8">
        <v>43968</v>
      </c>
      <c r="B223">
        <f t="shared" si="6"/>
        <v>20</v>
      </c>
      <c r="C223" s="9" t="s">
        <v>18</v>
      </c>
      <c r="D223" s="9">
        <v>15609</v>
      </c>
      <c r="E223" s="9">
        <v>1377577.5</v>
      </c>
      <c r="F223" s="7" cm="1">
        <f t="array" ref="F223">_xlfn.XLOOKUP(A223&amp;C223, Лист2!$A$2:$A$505&amp;Лист2!$B$2:$B$505, Лист2!$C$2:$C$505)</f>
        <v>15</v>
      </c>
      <c r="G223" s="15" cm="1">
        <f t="array" ref="G223">_xlfn.XLOOKUP(A223&amp;C223, Лист2!$A$2:$A$505&amp;Лист2!$B$2:$B$505, Лист2!$D$2:$D$505)</f>
        <v>971</v>
      </c>
      <c r="H223" s="18" cm="1">
        <f t="array" ref="H223">_xlfn.XLOOKUP(A223&amp;C223, Лист2!$A$2:$A$505&amp;Лист2!$B$2:$B$505, Лист2!$E$2:$E$505)</f>
        <v>856</v>
      </c>
      <c r="I223" s="16">
        <f t="shared" si="7"/>
        <v>1040.5999999999999</v>
      </c>
    </row>
    <row r="224" spans="1:9" ht="14.25" customHeight="1" x14ac:dyDescent="0.3">
      <c r="A224" s="5">
        <v>43960</v>
      </c>
      <c r="B224">
        <f t="shared" si="6"/>
        <v>19</v>
      </c>
      <c r="C224" s="6" t="s">
        <v>18</v>
      </c>
      <c r="D224" s="6">
        <v>13948.5</v>
      </c>
      <c r="E224" s="6">
        <v>1222932</v>
      </c>
      <c r="F224" s="7" cm="1">
        <f t="array" ref="F224">_xlfn.XLOOKUP(A224&amp;C224, Лист2!$A$2:$A$505&amp;Лист2!$B$2:$B$505, Лист2!$C$2:$C$505)</f>
        <v>15</v>
      </c>
      <c r="G224" s="15" cm="1">
        <f t="array" ref="G224">_xlfn.XLOOKUP(A224&amp;C224, Лист2!$A$2:$A$505&amp;Лист2!$B$2:$B$505, Лист2!$D$2:$D$505)</f>
        <v>849</v>
      </c>
      <c r="H224" s="18" cm="1">
        <f t="array" ref="H224">_xlfn.XLOOKUP(A224&amp;C224, Лист2!$A$2:$A$505&amp;Лист2!$B$2:$B$505, Лист2!$E$2:$E$505)</f>
        <v>740</v>
      </c>
      <c r="I224" s="16">
        <f t="shared" si="7"/>
        <v>929.9</v>
      </c>
    </row>
    <row r="225" spans="1:9" ht="14.25" customHeight="1" x14ac:dyDescent="0.3">
      <c r="A225" s="8">
        <v>43955</v>
      </c>
      <c r="B225">
        <f t="shared" si="6"/>
        <v>19</v>
      </c>
      <c r="C225" s="9" t="s">
        <v>18</v>
      </c>
      <c r="D225" s="9">
        <v>12301.5</v>
      </c>
      <c r="E225" s="9">
        <v>1085211</v>
      </c>
      <c r="F225" s="7" cm="1">
        <f t="array" ref="F225">_xlfn.XLOOKUP(A225&amp;C225, Лист2!$A$2:$A$505&amp;Лист2!$B$2:$B$505, Лист2!$C$2:$C$505)</f>
        <v>15</v>
      </c>
      <c r="G225" s="15" cm="1">
        <f t="array" ref="G225">_xlfn.XLOOKUP(A225&amp;C225, Лист2!$A$2:$A$505&amp;Лист2!$B$2:$B$505, Лист2!$D$2:$D$505)</f>
        <v>750</v>
      </c>
      <c r="H225" s="18" cm="1">
        <f t="array" ref="H225">_xlfn.XLOOKUP(A225&amp;C225, Лист2!$A$2:$A$505&amp;Лист2!$B$2:$B$505, Лист2!$E$2:$E$505)</f>
        <v>647</v>
      </c>
      <c r="I225" s="16">
        <f t="shared" si="7"/>
        <v>820.1</v>
      </c>
    </row>
    <row r="226" spans="1:9" ht="14.25" customHeight="1" x14ac:dyDescent="0.3">
      <c r="A226" s="5">
        <v>43950</v>
      </c>
      <c r="B226">
        <f t="shared" si="6"/>
        <v>18</v>
      </c>
      <c r="C226" s="6" t="s">
        <v>18</v>
      </c>
      <c r="D226" s="6">
        <v>13014</v>
      </c>
      <c r="E226" s="6">
        <v>1115992.5</v>
      </c>
      <c r="F226" s="7" cm="1">
        <f t="array" ref="F226">_xlfn.XLOOKUP(A226&amp;C226, Лист2!$A$2:$A$505&amp;Лист2!$B$2:$B$505, Лист2!$C$2:$C$505)</f>
        <v>15</v>
      </c>
      <c r="G226" s="15" cm="1">
        <f t="array" ref="G226">_xlfn.XLOOKUP(A226&amp;C226, Лист2!$A$2:$A$505&amp;Лист2!$B$2:$B$505, Лист2!$D$2:$D$505)</f>
        <v>786</v>
      </c>
      <c r="H226" s="18" cm="1">
        <f t="array" ref="H226">_xlfn.XLOOKUP(A226&amp;C226, Лист2!$A$2:$A$505&amp;Лист2!$B$2:$B$505, Лист2!$E$2:$E$505)</f>
        <v>695</v>
      </c>
      <c r="I226" s="16">
        <f t="shared" si="7"/>
        <v>867.6</v>
      </c>
    </row>
    <row r="227" spans="1:9" ht="14.25" customHeight="1" x14ac:dyDescent="0.3">
      <c r="A227" s="8">
        <v>43953</v>
      </c>
      <c r="B227">
        <f t="shared" si="6"/>
        <v>18</v>
      </c>
      <c r="C227" s="9" t="s">
        <v>18</v>
      </c>
      <c r="D227" s="9">
        <v>12313.5</v>
      </c>
      <c r="E227" s="9">
        <v>1053220.5</v>
      </c>
      <c r="F227" s="7" cm="1">
        <f t="array" ref="F227">_xlfn.XLOOKUP(A227&amp;C227, Лист2!$A$2:$A$505&amp;Лист2!$B$2:$B$505, Лист2!$C$2:$C$505)</f>
        <v>15</v>
      </c>
      <c r="G227" s="15" cm="1">
        <f t="array" ref="G227">_xlfn.XLOOKUP(A227&amp;C227, Лист2!$A$2:$A$505&amp;Лист2!$B$2:$B$505, Лист2!$D$2:$D$505)</f>
        <v>751</v>
      </c>
      <c r="H227" s="18" cm="1">
        <f t="array" ref="H227">_xlfn.XLOOKUP(A227&amp;C227, Лист2!$A$2:$A$505&amp;Лист2!$B$2:$B$505, Лист2!$E$2:$E$505)</f>
        <v>651</v>
      </c>
      <c r="I227" s="16">
        <f t="shared" si="7"/>
        <v>820.9</v>
      </c>
    </row>
    <row r="228" spans="1:9" ht="14.25" customHeight="1" x14ac:dyDescent="0.3">
      <c r="A228" s="5">
        <v>43977</v>
      </c>
      <c r="B228">
        <f t="shared" si="6"/>
        <v>22</v>
      </c>
      <c r="C228" s="6" t="s">
        <v>18</v>
      </c>
      <c r="D228" s="6">
        <v>17391</v>
      </c>
      <c r="E228" s="6">
        <v>1489132.5</v>
      </c>
      <c r="F228" s="7" cm="1">
        <f t="array" ref="F228">_xlfn.XLOOKUP(A228&amp;C228, Лист2!$A$2:$A$505&amp;Лист2!$B$2:$B$505, Лист2!$C$2:$C$505)</f>
        <v>17</v>
      </c>
      <c r="G228" s="15" cm="1">
        <f t="array" ref="G228">_xlfn.XLOOKUP(A228&amp;C228, Лист2!$A$2:$A$505&amp;Лист2!$B$2:$B$505, Лист2!$D$2:$D$505)</f>
        <v>1140</v>
      </c>
      <c r="H228" s="18" cm="1">
        <f t="array" ref="H228">_xlfn.XLOOKUP(A228&amp;C228, Лист2!$A$2:$A$505&amp;Лист2!$B$2:$B$505, Лист2!$E$2:$E$505)</f>
        <v>1016</v>
      </c>
      <c r="I228" s="16">
        <f t="shared" si="7"/>
        <v>1023</v>
      </c>
    </row>
    <row r="229" spans="1:9" ht="14.25" customHeight="1" x14ac:dyDescent="0.3">
      <c r="A229" s="8">
        <v>43952</v>
      </c>
      <c r="B229">
        <f t="shared" si="6"/>
        <v>18</v>
      </c>
      <c r="C229" s="9" t="s">
        <v>18</v>
      </c>
      <c r="D229" s="9">
        <v>17113.5</v>
      </c>
      <c r="E229" s="9">
        <v>1465842</v>
      </c>
      <c r="F229" s="7" cm="1">
        <f t="array" ref="F229">_xlfn.XLOOKUP(A229&amp;C229, Лист2!$A$2:$A$505&amp;Лист2!$B$2:$B$505, Лист2!$C$2:$C$505)</f>
        <v>15</v>
      </c>
      <c r="G229" s="15" cm="1">
        <f t="array" ref="G229">_xlfn.XLOOKUP(A229&amp;C229, Лист2!$A$2:$A$505&amp;Лист2!$B$2:$B$505, Лист2!$D$2:$D$505)</f>
        <v>996</v>
      </c>
      <c r="H229" s="18" cm="1">
        <f t="array" ref="H229">_xlfn.XLOOKUP(A229&amp;C229, Лист2!$A$2:$A$505&amp;Лист2!$B$2:$B$505, Лист2!$E$2:$E$505)</f>
        <v>888</v>
      </c>
      <c r="I229" s="16">
        <f t="shared" si="7"/>
        <v>1140.9000000000001</v>
      </c>
    </row>
    <row r="230" spans="1:9" ht="14.25" customHeight="1" x14ac:dyDescent="0.3">
      <c r="A230" s="5">
        <v>43963</v>
      </c>
      <c r="B230">
        <f t="shared" si="6"/>
        <v>20</v>
      </c>
      <c r="C230" s="6" t="s">
        <v>18</v>
      </c>
      <c r="D230" s="6">
        <v>12802.5</v>
      </c>
      <c r="E230" s="6">
        <v>1123830</v>
      </c>
      <c r="F230" s="7" cm="1">
        <f t="array" ref="F230">_xlfn.XLOOKUP(A230&amp;C230, Лист2!$A$2:$A$505&amp;Лист2!$B$2:$B$505, Лист2!$C$2:$C$505)</f>
        <v>15</v>
      </c>
      <c r="G230" s="15" cm="1">
        <f t="array" ref="G230">_xlfn.XLOOKUP(A230&amp;C230, Лист2!$A$2:$A$505&amp;Лист2!$B$2:$B$505, Лист2!$D$2:$D$505)</f>
        <v>845</v>
      </c>
      <c r="H230" s="18" cm="1">
        <f t="array" ref="H230">_xlfn.XLOOKUP(A230&amp;C230, Лист2!$A$2:$A$505&amp;Лист2!$B$2:$B$505, Лист2!$E$2:$E$505)</f>
        <v>743</v>
      </c>
      <c r="I230" s="16">
        <f t="shared" si="7"/>
        <v>853.5</v>
      </c>
    </row>
    <row r="231" spans="1:9" ht="14.25" customHeight="1" x14ac:dyDescent="0.3">
      <c r="A231" s="8">
        <v>43972</v>
      </c>
      <c r="B231">
        <f t="shared" si="6"/>
        <v>21</v>
      </c>
      <c r="C231" s="9" t="s">
        <v>18</v>
      </c>
      <c r="D231" s="9">
        <v>16554</v>
      </c>
      <c r="E231" s="9">
        <v>1380751.5</v>
      </c>
      <c r="F231" s="7" cm="1">
        <f t="array" ref="F231">_xlfn.XLOOKUP(A231&amp;C231, Лист2!$A$2:$A$505&amp;Лист2!$B$2:$B$505, Лист2!$C$2:$C$505)</f>
        <v>17</v>
      </c>
      <c r="G231" s="15" cm="1">
        <f t="array" ref="G231">_xlfn.XLOOKUP(A231&amp;C231, Лист2!$A$2:$A$505&amp;Лист2!$B$2:$B$505, Лист2!$D$2:$D$505)</f>
        <v>1045</v>
      </c>
      <c r="H231" s="18" cm="1">
        <f t="array" ref="H231">_xlfn.XLOOKUP(A231&amp;C231, Лист2!$A$2:$A$505&amp;Лист2!$B$2:$B$505, Лист2!$E$2:$E$505)</f>
        <v>930</v>
      </c>
      <c r="I231" s="16">
        <f t="shared" si="7"/>
        <v>973.76470588235293</v>
      </c>
    </row>
    <row r="232" spans="1:9" ht="14.25" customHeight="1" x14ac:dyDescent="0.3">
      <c r="A232" s="5">
        <v>43971</v>
      </c>
      <c r="B232">
        <f t="shared" si="6"/>
        <v>21</v>
      </c>
      <c r="C232" s="6" t="s">
        <v>18</v>
      </c>
      <c r="D232" s="6">
        <v>17329.5</v>
      </c>
      <c r="E232" s="6">
        <v>1430254.5</v>
      </c>
      <c r="F232" s="7" cm="1">
        <f t="array" ref="F232">_xlfn.XLOOKUP(A232&amp;C232, Лист2!$A$2:$A$505&amp;Лист2!$B$2:$B$505, Лист2!$C$2:$C$505)</f>
        <v>16</v>
      </c>
      <c r="G232" s="15" cm="1">
        <f t="array" ref="G232">_xlfn.XLOOKUP(A232&amp;C232, Лист2!$A$2:$A$505&amp;Лист2!$B$2:$B$505, Лист2!$D$2:$D$505)</f>
        <v>1050</v>
      </c>
      <c r="H232" s="18" cm="1">
        <f t="array" ref="H232">_xlfn.XLOOKUP(A232&amp;C232, Лист2!$A$2:$A$505&amp;Лист2!$B$2:$B$505, Лист2!$E$2:$E$505)</f>
        <v>938</v>
      </c>
      <c r="I232" s="16">
        <f t="shared" si="7"/>
        <v>1083.09375</v>
      </c>
    </row>
    <row r="233" spans="1:9" ht="14.25" customHeight="1" x14ac:dyDescent="0.3">
      <c r="A233" s="8">
        <v>43956</v>
      </c>
      <c r="B233">
        <f t="shared" si="6"/>
        <v>19</v>
      </c>
      <c r="C233" s="9" t="s">
        <v>18</v>
      </c>
      <c r="D233" s="9">
        <v>15987</v>
      </c>
      <c r="E233" s="9">
        <v>1384179</v>
      </c>
      <c r="F233" s="7" cm="1">
        <f t="array" ref="F233">_xlfn.XLOOKUP(A233&amp;C233, Лист2!$A$2:$A$505&amp;Лист2!$B$2:$B$505, Лист2!$C$2:$C$505)</f>
        <v>15</v>
      </c>
      <c r="G233" s="15" cm="1">
        <f t="array" ref="G233">_xlfn.XLOOKUP(A233&amp;C233, Лист2!$A$2:$A$505&amp;Лист2!$B$2:$B$505, Лист2!$D$2:$D$505)</f>
        <v>922</v>
      </c>
      <c r="H233" s="18" cm="1">
        <f t="array" ref="H233">_xlfn.XLOOKUP(A233&amp;C233, Лист2!$A$2:$A$505&amp;Лист2!$B$2:$B$505, Лист2!$E$2:$E$505)</f>
        <v>823</v>
      </c>
      <c r="I233" s="16">
        <f t="shared" si="7"/>
        <v>1065.8</v>
      </c>
    </row>
    <row r="234" spans="1:9" ht="14.25" customHeight="1" x14ac:dyDescent="0.3">
      <c r="A234" s="5">
        <v>43949</v>
      </c>
      <c r="B234">
        <f t="shared" si="6"/>
        <v>18</v>
      </c>
      <c r="C234" s="6" t="s">
        <v>18</v>
      </c>
      <c r="D234" s="6">
        <v>13303.5</v>
      </c>
      <c r="E234" s="6">
        <v>1102887</v>
      </c>
      <c r="F234" s="7" cm="1">
        <f t="array" ref="F234">_xlfn.XLOOKUP(A234&amp;C234, Лист2!$A$2:$A$505&amp;Лист2!$B$2:$B$505, Лист2!$C$2:$C$505)</f>
        <v>15</v>
      </c>
      <c r="G234" s="15" cm="1">
        <f t="array" ref="G234">_xlfn.XLOOKUP(A234&amp;C234, Лист2!$A$2:$A$505&amp;Лист2!$B$2:$B$505, Лист2!$D$2:$D$505)</f>
        <v>780</v>
      </c>
      <c r="H234" s="18" cm="1">
        <f t="array" ref="H234">_xlfn.XLOOKUP(A234&amp;C234, Лист2!$A$2:$A$505&amp;Лист2!$B$2:$B$505, Лист2!$E$2:$E$505)</f>
        <v>690</v>
      </c>
      <c r="I234" s="16">
        <f t="shared" si="7"/>
        <v>886.9</v>
      </c>
    </row>
    <row r="235" spans="1:9" ht="14.25" customHeight="1" x14ac:dyDescent="0.3">
      <c r="A235" s="8">
        <v>43964</v>
      </c>
      <c r="B235">
        <f t="shared" si="6"/>
        <v>20</v>
      </c>
      <c r="C235" s="9" t="s">
        <v>18</v>
      </c>
      <c r="D235" s="9">
        <v>14305.5</v>
      </c>
      <c r="E235" s="9">
        <v>1243507.5</v>
      </c>
      <c r="F235" s="7" cm="1">
        <f t="array" ref="F235">_xlfn.XLOOKUP(A235&amp;C235, Лист2!$A$2:$A$505&amp;Лист2!$B$2:$B$505, Лист2!$C$2:$C$505)</f>
        <v>15</v>
      </c>
      <c r="G235" s="15" cm="1">
        <f t="array" ref="G235">_xlfn.XLOOKUP(A235&amp;C235, Лист2!$A$2:$A$505&amp;Лист2!$B$2:$B$505, Лист2!$D$2:$D$505)</f>
        <v>898</v>
      </c>
      <c r="H235" s="18" cm="1">
        <f t="array" ref="H235">_xlfn.XLOOKUP(A235&amp;C235, Лист2!$A$2:$A$505&amp;Лист2!$B$2:$B$505, Лист2!$E$2:$E$505)</f>
        <v>795</v>
      </c>
      <c r="I235" s="16">
        <f t="shared" si="7"/>
        <v>953.7</v>
      </c>
    </row>
    <row r="236" spans="1:9" ht="14.25" customHeight="1" x14ac:dyDescent="0.3">
      <c r="A236" s="5">
        <v>43954</v>
      </c>
      <c r="B236">
        <f t="shared" si="6"/>
        <v>18</v>
      </c>
      <c r="C236" s="6" t="s">
        <v>18</v>
      </c>
      <c r="D236" s="6">
        <v>12924</v>
      </c>
      <c r="E236" s="6">
        <v>1120009.5</v>
      </c>
      <c r="F236" s="7" cm="1">
        <f t="array" ref="F236">_xlfn.XLOOKUP(A236&amp;C236, Лист2!$A$2:$A$505&amp;Лист2!$B$2:$B$505, Лист2!$C$2:$C$505)</f>
        <v>15</v>
      </c>
      <c r="G236" s="15" cm="1">
        <f t="array" ref="G236">_xlfn.XLOOKUP(A236&amp;C236, Лист2!$A$2:$A$505&amp;Лист2!$B$2:$B$505, Лист2!$D$2:$D$505)</f>
        <v>784</v>
      </c>
      <c r="H236" s="18" cm="1">
        <f t="array" ref="H236">_xlfn.XLOOKUP(A236&amp;C236, Лист2!$A$2:$A$505&amp;Лист2!$B$2:$B$505, Лист2!$E$2:$E$505)</f>
        <v>696</v>
      </c>
      <c r="I236" s="16">
        <f t="shared" si="7"/>
        <v>861.6</v>
      </c>
    </row>
    <row r="237" spans="1:9" ht="14.25" customHeight="1" x14ac:dyDescent="0.3">
      <c r="A237" s="8">
        <v>43957</v>
      </c>
      <c r="B237">
        <f t="shared" si="6"/>
        <v>19</v>
      </c>
      <c r="C237" s="9" t="s">
        <v>18</v>
      </c>
      <c r="D237" s="9">
        <v>14061</v>
      </c>
      <c r="E237" s="9">
        <v>1221057</v>
      </c>
      <c r="F237" s="7" cm="1">
        <f t="array" ref="F237">_xlfn.XLOOKUP(A237&amp;C237, Лист2!$A$2:$A$505&amp;Лист2!$B$2:$B$505, Лист2!$C$2:$C$505)</f>
        <v>15</v>
      </c>
      <c r="G237" s="15" cm="1">
        <f t="array" ref="G237">_xlfn.XLOOKUP(A237&amp;C237, Лист2!$A$2:$A$505&amp;Лист2!$B$2:$B$505, Лист2!$D$2:$D$505)</f>
        <v>839</v>
      </c>
      <c r="H237" s="18" cm="1">
        <f t="array" ref="H237">_xlfn.XLOOKUP(A237&amp;C237, Лист2!$A$2:$A$505&amp;Лист2!$B$2:$B$505, Лист2!$E$2:$E$505)</f>
        <v>733</v>
      </c>
      <c r="I237" s="16">
        <f t="shared" si="7"/>
        <v>937.4</v>
      </c>
    </row>
    <row r="238" spans="1:9" ht="14.25" customHeight="1" x14ac:dyDescent="0.3">
      <c r="A238" s="5">
        <v>43974</v>
      </c>
      <c r="B238">
        <f t="shared" si="6"/>
        <v>21</v>
      </c>
      <c r="C238" s="6" t="s">
        <v>18</v>
      </c>
      <c r="D238" s="6">
        <v>21958.5</v>
      </c>
      <c r="E238" s="6">
        <v>1854001.5</v>
      </c>
      <c r="F238" s="7" cm="1">
        <f t="array" ref="F238">_xlfn.XLOOKUP(A238&amp;C238, Лист2!$A$2:$A$505&amp;Лист2!$B$2:$B$505, Лист2!$C$2:$C$505)</f>
        <v>17</v>
      </c>
      <c r="G238" s="15" cm="1">
        <f t="array" ref="G238">_xlfn.XLOOKUP(A238&amp;C238, Лист2!$A$2:$A$505&amp;Лист2!$B$2:$B$505, Лист2!$D$2:$D$505)</f>
        <v>1294</v>
      </c>
      <c r="H238" s="18" cm="1">
        <f t="array" ref="H238">_xlfn.XLOOKUP(A238&amp;C238, Лист2!$A$2:$A$505&amp;Лист2!$B$2:$B$505, Лист2!$E$2:$E$505)</f>
        <v>1155</v>
      </c>
      <c r="I238" s="16">
        <f t="shared" si="7"/>
        <v>1291.6764705882354</v>
      </c>
    </row>
    <row r="239" spans="1:9" ht="14.25" customHeight="1" x14ac:dyDescent="0.3">
      <c r="A239" s="8">
        <v>43976</v>
      </c>
      <c r="B239">
        <f t="shared" si="6"/>
        <v>22</v>
      </c>
      <c r="C239" s="9" t="s">
        <v>18</v>
      </c>
      <c r="D239" s="9">
        <v>17211</v>
      </c>
      <c r="E239" s="9">
        <v>1507867.5</v>
      </c>
      <c r="F239" s="7" cm="1">
        <f t="array" ref="F239">_xlfn.XLOOKUP(A239&amp;C239, Лист2!$A$2:$A$505&amp;Лист2!$B$2:$B$505, Лист2!$C$2:$C$505)</f>
        <v>17</v>
      </c>
      <c r="G239" s="15" cm="1">
        <f t="array" ref="G239">_xlfn.XLOOKUP(A239&amp;C239, Лист2!$A$2:$A$505&amp;Лист2!$B$2:$B$505, Лист2!$D$2:$D$505)</f>
        <v>1142</v>
      </c>
      <c r="H239" s="18" cm="1">
        <f t="array" ref="H239">_xlfn.XLOOKUP(A239&amp;C239, Лист2!$A$2:$A$505&amp;Лист2!$B$2:$B$505, Лист2!$E$2:$E$505)</f>
        <v>1020</v>
      </c>
      <c r="I239" s="16">
        <f t="shared" si="7"/>
        <v>1012.4117647058823</v>
      </c>
    </row>
    <row r="240" spans="1:9" ht="14.25" customHeight="1" x14ac:dyDescent="0.3">
      <c r="A240" s="5">
        <v>43951</v>
      </c>
      <c r="B240">
        <f t="shared" si="6"/>
        <v>18</v>
      </c>
      <c r="C240" s="6" t="s">
        <v>18</v>
      </c>
      <c r="D240" s="6">
        <v>12753</v>
      </c>
      <c r="E240" s="6">
        <v>1103068.5</v>
      </c>
      <c r="F240" s="7" cm="1">
        <f t="array" ref="F240">_xlfn.XLOOKUP(A240&amp;C240, Лист2!$A$2:$A$505&amp;Лист2!$B$2:$B$505, Лист2!$C$2:$C$505)</f>
        <v>15</v>
      </c>
      <c r="G240" s="15" cm="1">
        <f t="array" ref="G240">_xlfn.XLOOKUP(A240&amp;C240, Лист2!$A$2:$A$505&amp;Лист2!$B$2:$B$505, Лист2!$D$2:$D$505)</f>
        <v>791</v>
      </c>
      <c r="H240" s="18" cm="1">
        <f t="array" ref="H240">_xlfn.XLOOKUP(A240&amp;C240, Лист2!$A$2:$A$505&amp;Лист2!$B$2:$B$505, Лист2!$E$2:$E$505)</f>
        <v>691</v>
      </c>
      <c r="I240" s="16">
        <f t="shared" si="7"/>
        <v>850.2</v>
      </c>
    </row>
    <row r="241" spans="1:9" ht="14.25" customHeight="1" x14ac:dyDescent="0.3">
      <c r="A241" s="8">
        <v>43961</v>
      </c>
      <c r="B241">
        <f t="shared" si="6"/>
        <v>19</v>
      </c>
      <c r="C241" s="9" t="s">
        <v>18</v>
      </c>
      <c r="D241" s="9">
        <v>16435.5</v>
      </c>
      <c r="E241" s="9">
        <v>1471537.5</v>
      </c>
      <c r="F241" s="7" cm="1">
        <f t="array" ref="F241">_xlfn.XLOOKUP(A241&amp;C241, Лист2!$A$2:$A$505&amp;Лист2!$B$2:$B$505, Лист2!$C$2:$C$505)</f>
        <v>15</v>
      </c>
      <c r="G241" s="15" cm="1">
        <f t="array" ref="G241">_xlfn.XLOOKUP(A241&amp;C241, Лист2!$A$2:$A$505&amp;Лист2!$B$2:$B$505, Лист2!$D$2:$D$505)</f>
        <v>950</v>
      </c>
      <c r="H241" s="18" cm="1">
        <f t="array" ref="H241">_xlfn.XLOOKUP(A241&amp;C241, Лист2!$A$2:$A$505&amp;Лист2!$B$2:$B$505, Лист2!$E$2:$E$505)</f>
        <v>848</v>
      </c>
      <c r="I241" s="16">
        <f t="shared" si="7"/>
        <v>1095.7</v>
      </c>
    </row>
    <row r="242" spans="1:9" ht="14.25" customHeight="1" x14ac:dyDescent="0.3">
      <c r="A242" s="5">
        <v>43959</v>
      </c>
      <c r="B242">
        <f t="shared" si="6"/>
        <v>19</v>
      </c>
      <c r="C242" s="6" t="s">
        <v>18</v>
      </c>
      <c r="D242" s="6">
        <v>14494.5</v>
      </c>
      <c r="E242" s="6">
        <v>1269786</v>
      </c>
      <c r="F242" s="7" cm="1">
        <f t="array" ref="F242">_xlfn.XLOOKUP(A242&amp;C242, Лист2!$A$2:$A$505&amp;Лист2!$B$2:$B$505, Лист2!$C$2:$C$505)</f>
        <v>15</v>
      </c>
      <c r="G242" s="15" cm="1">
        <f t="array" ref="G242">_xlfn.XLOOKUP(A242&amp;C242, Лист2!$A$2:$A$505&amp;Лист2!$B$2:$B$505, Лист2!$D$2:$D$505)</f>
        <v>879</v>
      </c>
      <c r="H242" s="18" cm="1">
        <f t="array" ref="H242">_xlfn.XLOOKUP(A242&amp;C242, Лист2!$A$2:$A$505&amp;Лист2!$B$2:$B$505, Лист2!$E$2:$E$505)</f>
        <v>768</v>
      </c>
      <c r="I242" s="16">
        <f t="shared" si="7"/>
        <v>966.3</v>
      </c>
    </row>
    <row r="243" spans="1:9" ht="14.25" customHeight="1" x14ac:dyDescent="0.3">
      <c r="A243" s="8">
        <v>43958</v>
      </c>
      <c r="B243">
        <f t="shared" si="6"/>
        <v>19</v>
      </c>
      <c r="C243" s="9" t="s">
        <v>18</v>
      </c>
      <c r="D243" s="9">
        <v>12705</v>
      </c>
      <c r="E243" s="9">
        <v>1123894.5</v>
      </c>
      <c r="F243" s="7" cm="1">
        <f t="array" ref="F243">_xlfn.XLOOKUP(A243&amp;C243, Лист2!$A$2:$A$505&amp;Лист2!$B$2:$B$505, Лист2!$C$2:$C$505)</f>
        <v>15</v>
      </c>
      <c r="G243" s="15" cm="1">
        <f t="array" ref="G243">_xlfn.XLOOKUP(A243&amp;C243, Лист2!$A$2:$A$505&amp;Лист2!$B$2:$B$505, Лист2!$D$2:$D$505)</f>
        <v>805</v>
      </c>
      <c r="H243" s="18" cm="1">
        <f t="array" ref="H243">_xlfn.XLOOKUP(A243&amp;C243, Лист2!$A$2:$A$505&amp;Лист2!$B$2:$B$505, Лист2!$E$2:$E$505)</f>
        <v>703</v>
      </c>
      <c r="I243" s="16">
        <f t="shared" si="7"/>
        <v>847</v>
      </c>
    </row>
    <row r="244" spans="1:9" ht="14.25" customHeight="1" x14ac:dyDescent="0.3">
      <c r="A244" s="5">
        <v>43975</v>
      </c>
      <c r="B244">
        <f t="shared" si="6"/>
        <v>21</v>
      </c>
      <c r="C244" s="6" t="s">
        <v>18</v>
      </c>
      <c r="D244" s="6">
        <v>18075</v>
      </c>
      <c r="E244" s="6">
        <v>1548099</v>
      </c>
      <c r="F244" s="7" cm="1">
        <f t="array" ref="F244">_xlfn.XLOOKUP(A244&amp;C244, Лист2!$A$2:$A$505&amp;Лист2!$B$2:$B$505, Лист2!$C$2:$C$505)</f>
        <v>17</v>
      </c>
      <c r="G244" s="15" cm="1">
        <f t="array" ref="G244">_xlfn.XLOOKUP(A244&amp;C244, Лист2!$A$2:$A$505&amp;Лист2!$B$2:$B$505, Лист2!$D$2:$D$505)</f>
        <v>1128</v>
      </c>
      <c r="H244" s="18" cm="1">
        <f t="array" ref="H244">_xlfn.XLOOKUP(A244&amp;C244, Лист2!$A$2:$A$505&amp;Лист2!$B$2:$B$505, Лист2!$E$2:$E$505)</f>
        <v>1001</v>
      </c>
      <c r="I244" s="16">
        <f t="shared" si="7"/>
        <v>1063.2352941176471</v>
      </c>
    </row>
    <row r="245" spans="1:9" ht="14.25" customHeight="1" x14ac:dyDescent="0.3">
      <c r="A245" s="8">
        <v>43967</v>
      </c>
      <c r="B245">
        <f t="shared" si="6"/>
        <v>20</v>
      </c>
      <c r="C245" s="9" t="s">
        <v>19</v>
      </c>
      <c r="D245" s="9">
        <v>13120.5</v>
      </c>
      <c r="E245" s="9">
        <v>1215033</v>
      </c>
      <c r="F245" s="7" cm="1">
        <f t="array" ref="F245">_xlfn.XLOOKUP(A245&amp;C245, Лист2!$A$2:$A$505&amp;Лист2!$B$2:$B$505, Лист2!$C$2:$C$505)</f>
        <v>15</v>
      </c>
      <c r="G245" s="15" cm="1">
        <f t="array" ref="G245">_xlfn.XLOOKUP(A245&amp;C245, Лист2!$A$2:$A$505&amp;Лист2!$B$2:$B$505, Лист2!$D$2:$D$505)</f>
        <v>747</v>
      </c>
      <c r="H245" s="18" cm="1">
        <f t="array" ref="H245">_xlfn.XLOOKUP(A245&amp;C245, Лист2!$A$2:$A$505&amp;Лист2!$B$2:$B$505, Лист2!$E$2:$E$505)</f>
        <v>647</v>
      </c>
      <c r="I245" s="16">
        <f t="shared" si="7"/>
        <v>874.7</v>
      </c>
    </row>
    <row r="246" spans="1:9" ht="14.25" customHeight="1" x14ac:dyDescent="0.3">
      <c r="A246" s="5">
        <v>43970</v>
      </c>
      <c r="B246">
        <f t="shared" si="6"/>
        <v>21</v>
      </c>
      <c r="C246" s="6" t="s">
        <v>19</v>
      </c>
      <c r="D246" s="6">
        <v>16237.5</v>
      </c>
      <c r="E246" s="6">
        <v>1403047.5</v>
      </c>
      <c r="F246" s="7" cm="1">
        <f t="array" ref="F246">_xlfn.XLOOKUP(A246&amp;C246, Лист2!$A$2:$A$505&amp;Лист2!$B$2:$B$505, Лист2!$C$2:$C$505)</f>
        <v>15</v>
      </c>
      <c r="G246" s="15" cm="1">
        <f t="array" ref="G246">_xlfn.XLOOKUP(A246&amp;C246, Лист2!$A$2:$A$505&amp;Лист2!$B$2:$B$505, Лист2!$D$2:$D$505)</f>
        <v>930</v>
      </c>
      <c r="H246" s="18" cm="1">
        <f t="array" ref="H246">_xlfn.XLOOKUP(A246&amp;C246, Лист2!$A$2:$A$505&amp;Лист2!$B$2:$B$505, Лист2!$E$2:$E$505)</f>
        <v>827</v>
      </c>
      <c r="I246" s="16">
        <f t="shared" si="7"/>
        <v>1082.5</v>
      </c>
    </row>
    <row r="247" spans="1:9" ht="14.25" customHeight="1" x14ac:dyDescent="0.3">
      <c r="A247" s="8">
        <v>43968</v>
      </c>
      <c r="B247">
        <f t="shared" si="6"/>
        <v>20</v>
      </c>
      <c r="C247" s="9" t="s">
        <v>19</v>
      </c>
      <c r="D247" s="9">
        <v>11967</v>
      </c>
      <c r="E247" s="9">
        <v>1060489.5</v>
      </c>
      <c r="F247" s="7" cm="1">
        <f t="array" ref="F247">_xlfn.XLOOKUP(A247&amp;C247, Лист2!$A$2:$A$505&amp;Лист2!$B$2:$B$505, Лист2!$C$2:$C$505)</f>
        <v>15</v>
      </c>
      <c r="G247" s="15" cm="1">
        <f t="array" ref="G247">_xlfn.XLOOKUP(A247&amp;C247, Лист2!$A$2:$A$505&amp;Лист2!$B$2:$B$505, Лист2!$D$2:$D$505)</f>
        <v>692</v>
      </c>
      <c r="H247" s="18" cm="1">
        <f t="array" ref="H247">_xlfn.XLOOKUP(A247&amp;C247, Лист2!$A$2:$A$505&amp;Лист2!$B$2:$B$505, Лист2!$E$2:$E$505)</f>
        <v>591</v>
      </c>
      <c r="I247" s="16">
        <f t="shared" si="7"/>
        <v>797.8</v>
      </c>
    </row>
    <row r="248" spans="1:9" ht="14.25" customHeight="1" x14ac:dyDescent="0.3">
      <c r="A248" s="5">
        <v>43960</v>
      </c>
      <c r="B248">
        <f t="shared" si="6"/>
        <v>19</v>
      </c>
      <c r="C248" s="6" t="s">
        <v>19</v>
      </c>
      <c r="D248" s="6">
        <v>12037.5</v>
      </c>
      <c r="E248" s="6">
        <v>1081216.5</v>
      </c>
      <c r="F248" s="7" cm="1">
        <f t="array" ref="F248">_xlfn.XLOOKUP(A248&amp;C248, Лист2!$A$2:$A$505&amp;Лист2!$B$2:$B$505, Лист2!$C$2:$C$505)</f>
        <v>15</v>
      </c>
      <c r="G248" s="15" cm="1">
        <f t="array" ref="G248">_xlfn.XLOOKUP(A248&amp;C248, Лист2!$A$2:$A$505&amp;Лист2!$B$2:$B$505, Лист2!$D$2:$D$505)</f>
        <v>623</v>
      </c>
      <c r="H248" s="18" cm="1">
        <f t="array" ref="H248">_xlfn.XLOOKUP(A248&amp;C248, Лист2!$A$2:$A$505&amp;Лист2!$B$2:$B$505, Лист2!$E$2:$E$505)</f>
        <v>535</v>
      </c>
      <c r="I248" s="16">
        <f t="shared" si="7"/>
        <v>802.5</v>
      </c>
    </row>
    <row r="249" spans="1:9" ht="14.25" customHeight="1" x14ac:dyDescent="0.3">
      <c r="A249" s="8">
        <v>43955</v>
      </c>
      <c r="B249">
        <f t="shared" si="6"/>
        <v>19</v>
      </c>
      <c r="C249" s="9" t="s">
        <v>19</v>
      </c>
      <c r="D249" s="9">
        <v>7087.5</v>
      </c>
      <c r="E249" s="9">
        <v>610855.5</v>
      </c>
      <c r="F249" s="7" cm="1">
        <f t="array" ref="F249">_xlfn.XLOOKUP(A249&amp;C249, Лист2!$A$2:$A$505&amp;Лист2!$B$2:$B$505, Лист2!$C$2:$C$505)</f>
        <v>15</v>
      </c>
      <c r="G249" s="15" cm="1">
        <f t="array" ref="G249">_xlfn.XLOOKUP(A249&amp;C249, Лист2!$A$2:$A$505&amp;Лист2!$B$2:$B$505, Лист2!$D$2:$D$505)</f>
        <v>390</v>
      </c>
      <c r="H249" s="18" cm="1">
        <f t="array" ref="H249">_xlfn.XLOOKUP(A249&amp;C249, Лист2!$A$2:$A$505&amp;Лист2!$B$2:$B$505, Лист2!$E$2:$E$505)</f>
        <v>315</v>
      </c>
      <c r="I249" s="16">
        <f t="shared" si="7"/>
        <v>472.5</v>
      </c>
    </row>
    <row r="250" spans="1:9" ht="14.25" customHeight="1" x14ac:dyDescent="0.3">
      <c r="A250" s="5">
        <v>43950</v>
      </c>
      <c r="B250">
        <f t="shared" si="6"/>
        <v>18</v>
      </c>
      <c r="C250" s="6" t="s">
        <v>20</v>
      </c>
      <c r="D250" s="6">
        <v>25816.5</v>
      </c>
      <c r="E250" s="6">
        <v>2360914.5</v>
      </c>
      <c r="F250" s="7" cm="1">
        <f t="array" ref="F250">_xlfn.XLOOKUP(A250&amp;C250, Лист2!$A$2:$A$505&amp;Лист2!$B$2:$B$505, Лист2!$C$2:$C$505)</f>
        <v>18</v>
      </c>
      <c r="G250" s="15" cm="1">
        <f t="array" ref="G250">_xlfn.XLOOKUP(A250&amp;C250, Лист2!$A$2:$A$505&amp;Лист2!$B$2:$B$505, Лист2!$D$2:$D$505)</f>
        <v>1599</v>
      </c>
      <c r="H250" s="18" cm="1">
        <f t="array" ref="H250">_xlfn.XLOOKUP(A250&amp;C250, Лист2!$A$2:$A$505&amp;Лист2!$B$2:$B$505, Лист2!$E$2:$E$505)</f>
        <v>1450</v>
      </c>
      <c r="I250" s="16">
        <f t="shared" si="7"/>
        <v>1434.25</v>
      </c>
    </row>
    <row r="251" spans="1:9" ht="14.25" customHeight="1" x14ac:dyDescent="0.3">
      <c r="A251" s="8">
        <v>43953</v>
      </c>
      <c r="B251">
        <f t="shared" si="6"/>
        <v>18</v>
      </c>
      <c r="C251" s="9" t="s">
        <v>19</v>
      </c>
      <c r="D251" s="9">
        <v>4624.5</v>
      </c>
      <c r="E251" s="9">
        <v>433243.5</v>
      </c>
      <c r="F251" s="7" cm="1">
        <f t="array" ref="F251">_xlfn.XLOOKUP(A251&amp;C251, Лист2!$A$2:$A$505&amp;Лист2!$B$2:$B$505, Лист2!$C$2:$C$505)</f>
        <v>15</v>
      </c>
      <c r="G251" s="15" cm="1">
        <f t="array" ref="G251">_xlfn.XLOOKUP(A251&amp;C251, Лист2!$A$2:$A$505&amp;Лист2!$B$2:$B$505, Лист2!$D$2:$D$505)</f>
        <v>274</v>
      </c>
      <c r="H251" s="18" cm="1">
        <f t="array" ref="H251">_xlfn.XLOOKUP(A251&amp;C251, Лист2!$A$2:$A$505&amp;Лист2!$B$2:$B$505, Лист2!$E$2:$E$505)</f>
        <v>203</v>
      </c>
      <c r="I251" s="16">
        <f t="shared" si="7"/>
        <v>308.3</v>
      </c>
    </row>
    <row r="252" spans="1:9" ht="14.25" customHeight="1" x14ac:dyDescent="0.3">
      <c r="A252" s="5">
        <v>43977</v>
      </c>
      <c r="B252">
        <f t="shared" si="6"/>
        <v>22</v>
      </c>
      <c r="C252" s="6" t="s">
        <v>19</v>
      </c>
      <c r="D252" s="6">
        <v>12259.5</v>
      </c>
      <c r="E252" s="6">
        <v>1152054</v>
      </c>
      <c r="F252" s="7" cm="1">
        <f t="array" ref="F252">_xlfn.XLOOKUP(A252&amp;C252, Лист2!$A$2:$A$505&amp;Лист2!$B$2:$B$505, Лист2!$C$2:$C$505)</f>
        <v>15</v>
      </c>
      <c r="G252" s="15" cm="1">
        <f t="array" ref="G252">_xlfn.XLOOKUP(A252&amp;C252, Лист2!$A$2:$A$505&amp;Лист2!$B$2:$B$505, Лист2!$D$2:$D$505)</f>
        <v>812</v>
      </c>
      <c r="H252" s="18" cm="1">
        <f t="array" ref="H252">_xlfn.XLOOKUP(A252&amp;C252, Лист2!$A$2:$A$505&amp;Лист2!$B$2:$B$505, Лист2!$E$2:$E$505)</f>
        <v>711</v>
      </c>
      <c r="I252" s="16">
        <f t="shared" si="7"/>
        <v>817.3</v>
      </c>
    </row>
    <row r="253" spans="1:9" ht="14.25" customHeight="1" x14ac:dyDescent="0.3">
      <c r="A253" s="8">
        <v>43952</v>
      </c>
      <c r="B253">
        <f t="shared" si="6"/>
        <v>18</v>
      </c>
      <c r="C253" s="9" t="s">
        <v>19</v>
      </c>
      <c r="D253" s="9">
        <v>5446.5</v>
      </c>
      <c r="E253" s="9">
        <v>505572</v>
      </c>
      <c r="F253" s="7" cm="1">
        <f t="array" ref="F253">_xlfn.XLOOKUP(A253&amp;C253, Лист2!$A$2:$A$505&amp;Лист2!$B$2:$B$505, Лист2!$C$2:$C$505)</f>
        <v>15</v>
      </c>
      <c r="G253" s="15" cm="1">
        <f t="array" ref="G253">_xlfn.XLOOKUP(A253&amp;C253, Лист2!$A$2:$A$505&amp;Лист2!$B$2:$B$505, Лист2!$D$2:$D$505)</f>
        <v>294</v>
      </c>
      <c r="H253" s="18" cm="1">
        <f t="array" ref="H253">_xlfn.XLOOKUP(A253&amp;C253, Лист2!$A$2:$A$505&amp;Лист2!$B$2:$B$505, Лист2!$E$2:$E$505)</f>
        <v>225</v>
      </c>
      <c r="I253" s="16">
        <f t="shared" si="7"/>
        <v>363.1</v>
      </c>
    </row>
    <row r="254" spans="1:9" ht="14.25" customHeight="1" x14ac:dyDescent="0.3">
      <c r="A254" s="5">
        <v>43963</v>
      </c>
      <c r="B254">
        <f t="shared" si="6"/>
        <v>20</v>
      </c>
      <c r="C254" s="6" t="s">
        <v>19</v>
      </c>
      <c r="D254" s="6">
        <v>11296.5</v>
      </c>
      <c r="E254" s="6">
        <v>989632.5</v>
      </c>
      <c r="F254" s="7" cm="1">
        <f t="array" ref="F254">_xlfn.XLOOKUP(A254&amp;C254, Лист2!$A$2:$A$505&amp;Лист2!$B$2:$B$505, Лист2!$C$2:$C$505)</f>
        <v>15</v>
      </c>
      <c r="G254" s="15" cm="1">
        <f t="array" ref="G254">_xlfn.XLOOKUP(A254&amp;C254, Лист2!$A$2:$A$505&amp;Лист2!$B$2:$B$505, Лист2!$D$2:$D$505)</f>
        <v>624</v>
      </c>
      <c r="H254" s="18" cm="1">
        <f t="array" ref="H254">_xlfn.XLOOKUP(A254&amp;C254, Лист2!$A$2:$A$505&amp;Лист2!$B$2:$B$505, Лист2!$E$2:$E$505)</f>
        <v>538</v>
      </c>
      <c r="I254" s="16">
        <f t="shared" si="7"/>
        <v>753.1</v>
      </c>
    </row>
    <row r="255" spans="1:9" ht="14.25" customHeight="1" x14ac:dyDescent="0.3">
      <c r="A255" s="8">
        <v>43972</v>
      </c>
      <c r="B255">
        <f t="shared" si="6"/>
        <v>21</v>
      </c>
      <c r="C255" s="9" t="s">
        <v>19</v>
      </c>
      <c r="D255" s="9">
        <v>12135</v>
      </c>
      <c r="E255" s="9">
        <v>1103623.5</v>
      </c>
      <c r="F255" s="7" cm="1">
        <f t="array" ref="F255">_xlfn.XLOOKUP(A255&amp;C255, Лист2!$A$2:$A$505&amp;Лист2!$B$2:$B$505, Лист2!$C$2:$C$505)</f>
        <v>15</v>
      </c>
      <c r="G255" s="15" cm="1">
        <f t="array" ref="G255">_xlfn.XLOOKUP(A255&amp;C255, Лист2!$A$2:$A$505&amp;Лист2!$B$2:$B$505, Лист2!$D$2:$D$505)</f>
        <v>749</v>
      </c>
      <c r="H255" s="18" cm="1">
        <f t="array" ref="H255">_xlfn.XLOOKUP(A255&amp;C255, Лист2!$A$2:$A$505&amp;Лист2!$B$2:$B$505, Лист2!$E$2:$E$505)</f>
        <v>652</v>
      </c>
      <c r="I255" s="16">
        <f t="shared" si="7"/>
        <v>809</v>
      </c>
    </row>
    <row r="256" spans="1:9" ht="14.25" customHeight="1" x14ac:dyDescent="0.3">
      <c r="A256" s="5">
        <v>43971</v>
      </c>
      <c r="B256">
        <f t="shared" si="6"/>
        <v>21</v>
      </c>
      <c r="C256" s="6" t="s">
        <v>19</v>
      </c>
      <c r="D256" s="6">
        <v>12630</v>
      </c>
      <c r="E256" s="6">
        <v>1104858</v>
      </c>
      <c r="F256" s="7" cm="1">
        <f t="array" ref="F256">_xlfn.XLOOKUP(A256&amp;C256, Лист2!$A$2:$A$505&amp;Лист2!$B$2:$B$505, Лист2!$C$2:$C$505)</f>
        <v>15</v>
      </c>
      <c r="G256" s="15" cm="1">
        <f t="array" ref="G256">_xlfn.XLOOKUP(A256&amp;C256, Лист2!$A$2:$A$505&amp;Лист2!$B$2:$B$505, Лист2!$D$2:$D$505)</f>
        <v>760</v>
      </c>
      <c r="H256" s="18" cm="1">
        <f t="array" ref="H256">_xlfn.XLOOKUP(A256&amp;C256, Лист2!$A$2:$A$505&amp;Лист2!$B$2:$B$505, Лист2!$E$2:$E$505)</f>
        <v>664</v>
      </c>
      <c r="I256" s="16">
        <f t="shared" si="7"/>
        <v>842</v>
      </c>
    </row>
    <row r="257" spans="1:9" ht="14.25" customHeight="1" x14ac:dyDescent="0.3">
      <c r="A257" s="8">
        <v>43956</v>
      </c>
      <c r="B257">
        <f t="shared" si="6"/>
        <v>19</v>
      </c>
      <c r="C257" s="9" t="s">
        <v>19</v>
      </c>
      <c r="D257" s="9">
        <v>8223</v>
      </c>
      <c r="E257" s="9">
        <v>694593</v>
      </c>
      <c r="F257" s="7" cm="1">
        <f t="array" ref="F257">_xlfn.XLOOKUP(A257&amp;C257, Лист2!$A$2:$A$505&amp;Лист2!$B$2:$B$505, Лист2!$C$2:$C$505)</f>
        <v>15</v>
      </c>
      <c r="G257" s="15" cm="1">
        <f t="array" ref="G257">_xlfn.XLOOKUP(A257&amp;C257, Лист2!$A$2:$A$505&amp;Лист2!$B$2:$B$505, Лист2!$D$2:$D$505)</f>
        <v>455</v>
      </c>
      <c r="H257" s="18" cm="1">
        <f t="array" ref="H257">_xlfn.XLOOKUP(A257&amp;C257, Лист2!$A$2:$A$505&amp;Лист2!$B$2:$B$505, Лист2!$E$2:$E$505)</f>
        <v>381</v>
      </c>
      <c r="I257" s="16">
        <f t="shared" si="7"/>
        <v>548.20000000000005</v>
      </c>
    </row>
    <row r="258" spans="1:9" ht="14.25" customHeight="1" x14ac:dyDescent="0.3">
      <c r="A258" s="5">
        <v>43949</v>
      </c>
      <c r="B258">
        <f t="shared" si="6"/>
        <v>18</v>
      </c>
      <c r="C258" s="6" t="s">
        <v>20</v>
      </c>
      <c r="D258" s="6">
        <v>25149</v>
      </c>
      <c r="E258" s="6">
        <v>2277072</v>
      </c>
      <c r="F258" s="7" cm="1">
        <f t="array" ref="F258">_xlfn.XLOOKUP(A258&amp;C258, Лист2!$A$2:$A$505&amp;Лист2!$B$2:$B$505, Лист2!$C$2:$C$505)</f>
        <v>18</v>
      </c>
      <c r="G258" s="15" cm="1">
        <f t="array" ref="G258">_xlfn.XLOOKUP(A258&amp;C258, Лист2!$A$2:$A$505&amp;Лист2!$B$2:$B$505, Лист2!$D$2:$D$505)</f>
        <v>1505</v>
      </c>
      <c r="H258" s="18" cm="1">
        <f t="array" ref="H258">_xlfn.XLOOKUP(A258&amp;C258, Лист2!$A$2:$A$505&amp;Лист2!$B$2:$B$505, Лист2!$E$2:$E$505)</f>
        <v>1368</v>
      </c>
      <c r="I258" s="16">
        <f t="shared" si="7"/>
        <v>1397.1666666666667</v>
      </c>
    </row>
    <row r="259" spans="1:9" ht="14.25" customHeight="1" x14ac:dyDescent="0.3">
      <c r="A259" s="8">
        <v>43964</v>
      </c>
      <c r="B259">
        <f t="shared" ref="B259:B322" si="8">WEEKNUM(A259, 2)</f>
        <v>20</v>
      </c>
      <c r="C259" s="9" t="s">
        <v>19</v>
      </c>
      <c r="D259" s="9">
        <v>10401</v>
      </c>
      <c r="E259" s="9">
        <v>949912.5</v>
      </c>
      <c r="F259" s="7" cm="1">
        <f t="array" ref="F259">_xlfn.XLOOKUP(A259&amp;C259, Лист2!$A$2:$A$505&amp;Лист2!$B$2:$B$505, Лист2!$C$2:$C$505)</f>
        <v>15</v>
      </c>
      <c r="G259" s="15" cm="1">
        <f t="array" ref="G259">_xlfn.XLOOKUP(A259&amp;C259, Лист2!$A$2:$A$505&amp;Лист2!$B$2:$B$505, Лист2!$D$2:$D$505)</f>
        <v>599</v>
      </c>
      <c r="H259" s="18" cm="1">
        <f t="array" ref="H259">_xlfn.XLOOKUP(A259&amp;C259, Лист2!$A$2:$A$505&amp;Лист2!$B$2:$B$505, Лист2!$E$2:$E$505)</f>
        <v>515</v>
      </c>
      <c r="I259" s="16">
        <f t="shared" ref="I259:I322" si="9">D259/F259</f>
        <v>693.4</v>
      </c>
    </row>
    <row r="260" spans="1:9" ht="14.25" customHeight="1" x14ac:dyDescent="0.3">
      <c r="A260" s="5">
        <v>43982</v>
      </c>
      <c r="B260">
        <f t="shared" si="8"/>
        <v>22</v>
      </c>
      <c r="C260" s="6" t="s">
        <v>18</v>
      </c>
      <c r="D260" s="6">
        <v>17689.5</v>
      </c>
      <c r="E260" s="6">
        <v>1592119.5</v>
      </c>
      <c r="F260" s="7" cm="1">
        <f t="array" ref="F260">_xlfn.XLOOKUP(A260&amp;C260, Лист2!$A$2:$A$505&amp;Лист2!$B$2:$B$505, Лист2!$C$2:$C$505)</f>
        <v>17</v>
      </c>
      <c r="G260" s="15" cm="1">
        <f t="array" ref="G260">_xlfn.XLOOKUP(A260&amp;C260, Лист2!$A$2:$A$505&amp;Лист2!$B$2:$B$505, Лист2!$D$2:$D$505)</f>
        <v>1186</v>
      </c>
      <c r="H260" s="18" cm="1">
        <f t="array" ref="H260">_xlfn.XLOOKUP(A260&amp;C260, Лист2!$A$2:$A$505&amp;Лист2!$B$2:$B$505, Лист2!$E$2:$E$505)</f>
        <v>1054</v>
      </c>
      <c r="I260" s="16">
        <f t="shared" si="9"/>
        <v>1040.5588235294117</v>
      </c>
    </row>
    <row r="261" spans="1:9" ht="14.25" customHeight="1" x14ac:dyDescent="0.3">
      <c r="A261" s="8">
        <v>43954</v>
      </c>
      <c r="B261">
        <f t="shared" si="8"/>
        <v>18</v>
      </c>
      <c r="C261" s="9" t="s">
        <v>19</v>
      </c>
      <c r="D261" s="9">
        <v>8127</v>
      </c>
      <c r="E261" s="9">
        <v>665302.5</v>
      </c>
      <c r="F261" s="7" cm="1">
        <f t="array" ref="F261">_xlfn.XLOOKUP(A261&amp;C261, Лист2!$A$2:$A$505&amp;Лист2!$B$2:$B$505, Лист2!$C$2:$C$505)</f>
        <v>15</v>
      </c>
      <c r="G261" s="15" cm="1">
        <f t="array" ref="G261">_xlfn.XLOOKUP(A261&amp;C261, Лист2!$A$2:$A$505&amp;Лист2!$B$2:$B$505, Лист2!$D$2:$D$505)</f>
        <v>455</v>
      </c>
      <c r="H261" s="18" cm="1">
        <f t="array" ref="H261">_xlfn.XLOOKUP(A261&amp;C261, Лист2!$A$2:$A$505&amp;Лист2!$B$2:$B$505, Лист2!$E$2:$E$505)</f>
        <v>384</v>
      </c>
      <c r="I261" s="16">
        <f t="shared" si="9"/>
        <v>541.79999999999995</v>
      </c>
    </row>
    <row r="262" spans="1:9" ht="14.25" customHeight="1" x14ac:dyDescent="0.3">
      <c r="A262" s="5">
        <v>43981</v>
      </c>
      <c r="B262">
        <f t="shared" si="8"/>
        <v>22</v>
      </c>
      <c r="C262" s="6" t="s">
        <v>18</v>
      </c>
      <c r="D262" s="6">
        <v>27250.5</v>
      </c>
      <c r="E262" s="6">
        <v>2457252</v>
      </c>
      <c r="F262" s="7" cm="1">
        <f t="array" ref="F262">_xlfn.XLOOKUP(A262&amp;C262, Лист2!$A$2:$A$505&amp;Лист2!$B$2:$B$505, Лист2!$C$2:$C$505)</f>
        <v>17</v>
      </c>
      <c r="G262" s="15" cm="1">
        <f t="array" ref="G262">_xlfn.XLOOKUP(A262&amp;C262, Лист2!$A$2:$A$505&amp;Лист2!$B$2:$B$505, Лист2!$D$2:$D$505)</f>
        <v>1697</v>
      </c>
      <c r="H262" s="18" cm="1">
        <f t="array" ref="H262">_xlfn.XLOOKUP(A262&amp;C262, Лист2!$A$2:$A$505&amp;Лист2!$B$2:$B$505, Лист2!$E$2:$E$505)</f>
        <v>1499</v>
      </c>
      <c r="I262" s="16">
        <f t="shared" si="9"/>
        <v>1602.9705882352941</v>
      </c>
    </row>
    <row r="263" spans="1:9" ht="14.25" customHeight="1" x14ac:dyDescent="0.3">
      <c r="A263" s="8">
        <v>43957</v>
      </c>
      <c r="B263">
        <f t="shared" si="8"/>
        <v>19</v>
      </c>
      <c r="C263" s="9" t="s">
        <v>19</v>
      </c>
      <c r="D263" s="9">
        <v>8464.5</v>
      </c>
      <c r="E263" s="9">
        <v>739291.5</v>
      </c>
      <c r="F263" s="7" cm="1">
        <f t="array" ref="F263">_xlfn.XLOOKUP(A263&amp;C263, Лист2!$A$2:$A$505&amp;Лист2!$B$2:$B$505, Лист2!$C$2:$C$505)</f>
        <v>15</v>
      </c>
      <c r="G263" s="15" cm="1">
        <f t="array" ref="G263">_xlfn.XLOOKUP(A263&amp;C263, Лист2!$A$2:$A$505&amp;Лист2!$B$2:$B$505, Лист2!$D$2:$D$505)</f>
        <v>467</v>
      </c>
      <c r="H263" s="18" cm="1">
        <f t="array" ref="H263">_xlfn.XLOOKUP(A263&amp;C263, Лист2!$A$2:$A$505&amp;Лист2!$B$2:$B$505, Лист2!$E$2:$E$505)</f>
        <v>389</v>
      </c>
      <c r="I263" s="16">
        <f t="shared" si="9"/>
        <v>564.29999999999995</v>
      </c>
    </row>
    <row r="264" spans="1:9" ht="14.25" customHeight="1" x14ac:dyDescent="0.3">
      <c r="A264" s="5">
        <v>43974</v>
      </c>
      <c r="B264">
        <f t="shared" si="8"/>
        <v>21</v>
      </c>
      <c r="C264" s="6" t="s">
        <v>19</v>
      </c>
      <c r="D264" s="6">
        <v>14167.5</v>
      </c>
      <c r="E264" s="6">
        <v>1315075.5</v>
      </c>
      <c r="F264" s="7" cm="1">
        <f t="array" ref="F264">_xlfn.XLOOKUP(A264&amp;C264, Лист2!$A$2:$A$505&amp;Лист2!$B$2:$B$505, Лист2!$C$2:$C$505)</f>
        <v>15</v>
      </c>
      <c r="G264" s="15" cm="1">
        <f t="array" ref="G264">_xlfn.XLOOKUP(A264&amp;C264, Лист2!$A$2:$A$505&amp;Лист2!$B$2:$B$505, Лист2!$D$2:$D$505)</f>
        <v>840</v>
      </c>
      <c r="H264" s="18" cm="1">
        <f t="array" ref="H264">_xlfn.XLOOKUP(A264&amp;C264, Лист2!$A$2:$A$505&amp;Лист2!$B$2:$B$505, Лист2!$E$2:$E$505)</f>
        <v>725</v>
      </c>
      <c r="I264" s="16">
        <f t="shared" si="9"/>
        <v>944.5</v>
      </c>
    </row>
    <row r="265" spans="1:9" ht="14.25" customHeight="1" x14ac:dyDescent="0.3">
      <c r="A265" s="8">
        <v>43979</v>
      </c>
      <c r="B265">
        <f t="shared" si="8"/>
        <v>22</v>
      </c>
      <c r="C265" s="9" t="s">
        <v>18</v>
      </c>
      <c r="D265" s="9">
        <v>16500</v>
      </c>
      <c r="E265" s="9">
        <v>1487928</v>
      </c>
      <c r="F265" s="7" cm="1">
        <f t="array" ref="F265">_xlfn.XLOOKUP(A265&amp;C265, Лист2!$A$2:$A$505&amp;Лист2!$B$2:$B$505, Лист2!$C$2:$C$505)</f>
        <v>17</v>
      </c>
      <c r="G265" s="15" cm="1">
        <f t="array" ref="G265">_xlfn.XLOOKUP(A265&amp;C265, Лист2!$A$2:$A$505&amp;Лист2!$B$2:$B$505, Лист2!$D$2:$D$505)</f>
        <v>1097</v>
      </c>
      <c r="H265" s="18" cm="1">
        <f t="array" ref="H265">_xlfn.XLOOKUP(A265&amp;C265, Лист2!$A$2:$A$505&amp;Лист2!$B$2:$B$505, Лист2!$E$2:$E$505)</f>
        <v>968</v>
      </c>
      <c r="I265" s="16">
        <f t="shared" si="9"/>
        <v>970.58823529411768</v>
      </c>
    </row>
    <row r="266" spans="1:9" ht="14.25" customHeight="1" x14ac:dyDescent="0.3">
      <c r="A266" s="5">
        <v>43976</v>
      </c>
      <c r="B266">
        <f t="shared" si="8"/>
        <v>22</v>
      </c>
      <c r="C266" s="6" t="s">
        <v>19</v>
      </c>
      <c r="D266" s="6">
        <v>13260</v>
      </c>
      <c r="E266" s="6">
        <v>1230687</v>
      </c>
      <c r="F266" s="7" cm="1">
        <f t="array" ref="F266">_xlfn.XLOOKUP(A266&amp;C266, Лист2!$A$2:$A$505&amp;Лист2!$B$2:$B$505, Лист2!$C$2:$C$505)</f>
        <v>15</v>
      </c>
      <c r="G266" s="15" cm="1">
        <f t="array" ref="G266">_xlfn.XLOOKUP(A266&amp;C266, Лист2!$A$2:$A$505&amp;Лист2!$B$2:$B$505, Лист2!$D$2:$D$505)</f>
        <v>835</v>
      </c>
      <c r="H266" s="18" cm="1">
        <f t="array" ref="H266">_xlfn.XLOOKUP(A266&amp;C266, Лист2!$A$2:$A$505&amp;Лист2!$B$2:$B$505, Лист2!$E$2:$E$505)</f>
        <v>736</v>
      </c>
      <c r="I266" s="16">
        <f t="shared" si="9"/>
        <v>884</v>
      </c>
    </row>
    <row r="267" spans="1:9" ht="14.25" customHeight="1" x14ac:dyDescent="0.3">
      <c r="A267" s="8">
        <v>43951</v>
      </c>
      <c r="B267">
        <f t="shared" si="8"/>
        <v>18</v>
      </c>
      <c r="C267" s="9" t="s">
        <v>19</v>
      </c>
      <c r="D267" s="9">
        <v>4285.5</v>
      </c>
      <c r="E267" s="9">
        <v>404691</v>
      </c>
      <c r="F267" s="7" cm="1">
        <f t="array" ref="F267">_xlfn.XLOOKUP(A267&amp;C267, Лист2!$A$2:$A$505&amp;Лист2!$B$2:$B$505, Лист2!$C$2:$C$505)</f>
        <v>15</v>
      </c>
      <c r="G267" s="15" cm="1">
        <f t="array" ref="G267">_xlfn.XLOOKUP(A267&amp;C267, Лист2!$A$2:$A$505&amp;Лист2!$B$2:$B$505, Лист2!$D$2:$D$505)</f>
        <v>262</v>
      </c>
      <c r="H267" s="18" cm="1">
        <f t="array" ref="H267">_xlfn.XLOOKUP(A267&amp;C267, Лист2!$A$2:$A$505&amp;Лист2!$B$2:$B$505, Лист2!$E$2:$E$505)</f>
        <v>195</v>
      </c>
      <c r="I267" s="16">
        <f t="shared" si="9"/>
        <v>285.7</v>
      </c>
    </row>
    <row r="268" spans="1:9" ht="14.25" customHeight="1" x14ac:dyDescent="0.3">
      <c r="A268" s="5">
        <v>43961</v>
      </c>
      <c r="B268">
        <f t="shared" si="8"/>
        <v>19</v>
      </c>
      <c r="C268" s="6" t="s">
        <v>19</v>
      </c>
      <c r="D268" s="6">
        <v>13440</v>
      </c>
      <c r="E268" s="6">
        <v>1198285.5</v>
      </c>
      <c r="F268" s="7" cm="1">
        <f t="array" ref="F268">_xlfn.XLOOKUP(A268&amp;C268, Лист2!$A$2:$A$505&amp;Лист2!$B$2:$B$505, Лист2!$C$2:$C$505)</f>
        <v>15</v>
      </c>
      <c r="G268" s="15" cm="1">
        <f t="array" ref="G268">_xlfn.XLOOKUP(A268&amp;C268, Лист2!$A$2:$A$505&amp;Лист2!$B$2:$B$505, Лист2!$D$2:$D$505)</f>
        <v>706</v>
      </c>
      <c r="H268" s="18" cm="1">
        <f t="array" ref="H268">_xlfn.XLOOKUP(A268&amp;C268, Лист2!$A$2:$A$505&amp;Лист2!$B$2:$B$505, Лист2!$E$2:$E$505)</f>
        <v>608</v>
      </c>
      <c r="I268" s="16">
        <f t="shared" si="9"/>
        <v>896</v>
      </c>
    </row>
    <row r="269" spans="1:9" ht="14.25" customHeight="1" x14ac:dyDescent="0.3">
      <c r="A269" s="8">
        <v>43959</v>
      </c>
      <c r="B269">
        <f t="shared" si="8"/>
        <v>19</v>
      </c>
      <c r="C269" s="9" t="s">
        <v>19</v>
      </c>
      <c r="D269" s="9">
        <v>9058.5</v>
      </c>
      <c r="E269" s="9">
        <v>798759</v>
      </c>
      <c r="F269" s="7" cm="1">
        <f t="array" ref="F269">_xlfn.XLOOKUP(A269&amp;C269, Лист2!$A$2:$A$505&amp;Лист2!$B$2:$B$505, Лист2!$C$2:$C$505)</f>
        <v>15</v>
      </c>
      <c r="G269" s="15" cm="1">
        <f t="array" ref="G269">_xlfn.XLOOKUP(A269&amp;C269, Лист2!$A$2:$A$505&amp;Лист2!$B$2:$B$505, Лист2!$D$2:$D$505)</f>
        <v>492</v>
      </c>
      <c r="H269" s="18" cm="1">
        <f t="array" ref="H269">_xlfn.XLOOKUP(A269&amp;C269, Лист2!$A$2:$A$505&amp;Лист2!$B$2:$B$505, Лист2!$E$2:$E$505)</f>
        <v>412</v>
      </c>
      <c r="I269" s="16">
        <f t="shared" si="9"/>
        <v>603.9</v>
      </c>
    </row>
    <row r="270" spans="1:9" ht="14.25" customHeight="1" x14ac:dyDescent="0.3">
      <c r="A270" s="5">
        <v>43958</v>
      </c>
      <c r="B270">
        <f t="shared" si="8"/>
        <v>19</v>
      </c>
      <c r="C270" s="6" t="s">
        <v>19</v>
      </c>
      <c r="D270" s="6">
        <v>8719.5</v>
      </c>
      <c r="E270" s="6">
        <v>769276.5</v>
      </c>
      <c r="F270" s="7" cm="1">
        <f t="array" ref="F270">_xlfn.XLOOKUP(A270&amp;C270, Лист2!$A$2:$A$505&amp;Лист2!$B$2:$B$505, Лист2!$C$2:$C$505)</f>
        <v>15</v>
      </c>
      <c r="G270" s="15" cm="1">
        <f t="array" ref="G270">_xlfn.XLOOKUP(A270&amp;C270, Лист2!$A$2:$A$505&amp;Лист2!$B$2:$B$505, Лист2!$D$2:$D$505)</f>
        <v>480</v>
      </c>
      <c r="H270" s="18" cm="1">
        <f t="array" ref="H270">_xlfn.XLOOKUP(A270&amp;C270, Лист2!$A$2:$A$505&amp;Лист2!$B$2:$B$505, Лист2!$E$2:$E$505)</f>
        <v>398</v>
      </c>
      <c r="I270" s="16">
        <f t="shared" si="9"/>
        <v>581.29999999999995</v>
      </c>
    </row>
    <row r="271" spans="1:9" ht="14.25" customHeight="1" x14ac:dyDescent="0.3">
      <c r="A271" s="8">
        <v>43975</v>
      </c>
      <c r="B271">
        <f t="shared" si="8"/>
        <v>21</v>
      </c>
      <c r="C271" s="9" t="s">
        <v>19</v>
      </c>
      <c r="D271" s="9">
        <v>12666</v>
      </c>
      <c r="E271" s="9">
        <v>1184865</v>
      </c>
      <c r="F271" s="7" cm="1">
        <f t="array" ref="F271">_xlfn.XLOOKUP(A271&amp;C271, Лист2!$A$2:$A$505&amp;Лист2!$B$2:$B$505, Лист2!$C$2:$C$505)</f>
        <v>15</v>
      </c>
      <c r="G271" s="15" cm="1">
        <f t="array" ref="G271">_xlfn.XLOOKUP(A271&amp;C271, Лист2!$A$2:$A$505&amp;Лист2!$B$2:$B$505, Лист2!$D$2:$D$505)</f>
        <v>779</v>
      </c>
      <c r="H271" s="18" cm="1">
        <f t="array" ref="H271">_xlfn.XLOOKUP(A271&amp;C271, Лист2!$A$2:$A$505&amp;Лист2!$B$2:$B$505, Лист2!$E$2:$E$505)</f>
        <v>673</v>
      </c>
      <c r="I271" s="16">
        <f t="shared" si="9"/>
        <v>844.4</v>
      </c>
    </row>
    <row r="272" spans="1:9" ht="14.25" customHeight="1" x14ac:dyDescent="0.3">
      <c r="A272" s="5">
        <v>43967</v>
      </c>
      <c r="B272">
        <f t="shared" si="8"/>
        <v>20</v>
      </c>
      <c r="C272" s="6" t="s">
        <v>20</v>
      </c>
      <c r="D272" s="6">
        <v>34563</v>
      </c>
      <c r="E272" s="6">
        <v>2922883.5</v>
      </c>
      <c r="F272" s="7" cm="1">
        <f t="array" ref="F272">_xlfn.XLOOKUP(A272&amp;C272, Лист2!$A$2:$A$505&amp;Лист2!$B$2:$B$505, Лист2!$C$2:$C$505)</f>
        <v>19</v>
      </c>
      <c r="G272" s="15" cm="1">
        <f t="array" ref="G272">_xlfn.XLOOKUP(A272&amp;C272, Лист2!$A$2:$A$505&amp;Лист2!$B$2:$B$505, Лист2!$D$2:$D$505)</f>
        <v>2039</v>
      </c>
      <c r="H272" s="18" cm="1">
        <f t="array" ref="H272">_xlfn.XLOOKUP(A272&amp;C272, Лист2!$A$2:$A$505&amp;Лист2!$B$2:$B$505, Лист2!$E$2:$E$505)</f>
        <v>1868</v>
      </c>
      <c r="I272" s="16">
        <f t="shared" si="9"/>
        <v>1819.1052631578948</v>
      </c>
    </row>
    <row r="273" spans="1:9" ht="14.25" customHeight="1" x14ac:dyDescent="0.3">
      <c r="A273" s="8">
        <v>43970</v>
      </c>
      <c r="B273">
        <f t="shared" si="8"/>
        <v>21</v>
      </c>
      <c r="C273" s="9" t="s">
        <v>20</v>
      </c>
      <c r="D273" s="9">
        <v>28882.5</v>
      </c>
      <c r="E273" s="9">
        <v>2446530</v>
      </c>
      <c r="F273" s="7" cm="1">
        <f t="array" ref="F273">_xlfn.XLOOKUP(A273&amp;C273, Лист2!$A$2:$A$505&amp;Лист2!$B$2:$B$505, Лист2!$C$2:$C$505)</f>
        <v>19</v>
      </c>
      <c r="G273" s="15" cm="1">
        <f t="array" ref="G273">_xlfn.XLOOKUP(A273&amp;C273, Лист2!$A$2:$A$505&amp;Лист2!$B$2:$B$505, Лист2!$D$2:$D$505)</f>
        <v>1831</v>
      </c>
      <c r="H273" s="18" cm="1">
        <f t="array" ref="H273">_xlfn.XLOOKUP(A273&amp;C273, Лист2!$A$2:$A$505&amp;Лист2!$B$2:$B$505, Лист2!$E$2:$E$505)</f>
        <v>1667</v>
      </c>
      <c r="I273" s="16">
        <f t="shared" si="9"/>
        <v>1520.1315789473683</v>
      </c>
    </row>
    <row r="274" spans="1:9" ht="14.25" customHeight="1" x14ac:dyDescent="0.3">
      <c r="A274" s="5">
        <v>43968</v>
      </c>
      <c r="B274">
        <f t="shared" si="8"/>
        <v>20</v>
      </c>
      <c r="C274" s="6" t="s">
        <v>20</v>
      </c>
      <c r="D274" s="6">
        <v>28275</v>
      </c>
      <c r="E274" s="6">
        <v>2435632.5</v>
      </c>
      <c r="F274" s="7" cm="1">
        <f t="array" ref="F274">_xlfn.XLOOKUP(A274&amp;C274, Лист2!$A$2:$A$505&amp;Лист2!$B$2:$B$505, Лист2!$C$2:$C$505)</f>
        <v>19</v>
      </c>
      <c r="G274" s="15" cm="1">
        <f t="array" ref="G274">_xlfn.XLOOKUP(A274&amp;C274, Лист2!$A$2:$A$505&amp;Лист2!$B$2:$B$505, Лист2!$D$2:$D$505)</f>
        <v>1790</v>
      </c>
      <c r="H274" s="18" cm="1">
        <f t="array" ref="H274">_xlfn.XLOOKUP(A274&amp;C274, Лист2!$A$2:$A$505&amp;Лист2!$B$2:$B$505, Лист2!$E$2:$E$505)</f>
        <v>1633</v>
      </c>
      <c r="I274" s="16">
        <f t="shared" si="9"/>
        <v>1488.1578947368421</v>
      </c>
    </row>
    <row r="275" spans="1:9" ht="14.25" customHeight="1" x14ac:dyDescent="0.3">
      <c r="A275" s="8">
        <v>43960</v>
      </c>
      <c r="B275">
        <f t="shared" si="8"/>
        <v>19</v>
      </c>
      <c r="C275" s="9" t="s">
        <v>20</v>
      </c>
      <c r="D275" s="9">
        <v>26271</v>
      </c>
      <c r="E275" s="9">
        <v>2384937</v>
      </c>
      <c r="F275" s="7" cm="1">
        <f t="array" ref="F275">_xlfn.XLOOKUP(A275&amp;C275, Лист2!$A$2:$A$505&amp;Лист2!$B$2:$B$505, Лист2!$C$2:$C$505)</f>
        <v>19</v>
      </c>
      <c r="G275" s="15" cm="1">
        <f t="array" ref="G275">_xlfn.XLOOKUP(A275&amp;C275, Лист2!$A$2:$A$505&amp;Лист2!$B$2:$B$505, Лист2!$D$2:$D$505)</f>
        <v>1542</v>
      </c>
      <c r="H275" s="18" cm="1">
        <f t="array" ref="H275">_xlfn.XLOOKUP(A275&amp;C275, Лист2!$A$2:$A$505&amp;Лист2!$B$2:$B$505, Лист2!$E$2:$E$505)</f>
        <v>1412</v>
      </c>
      <c r="I275" s="16">
        <f t="shared" si="9"/>
        <v>1382.6842105263158</v>
      </c>
    </row>
    <row r="276" spans="1:9" ht="14.25" customHeight="1" x14ac:dyDescent="0.3">
      <c r="A276" s="5">
        <v>43955</v>
      </c>
      <c r="B276">
        <f t="shared" si="8"/>
        <v>19</v>
      </c>
      <c r="C276" s="6" t="s">
        <v>20</v>
      </c>
      <c r="D276" s="6">
        <v>23587.5</v>
      </c>
      <c r="E276" s="6">
        <v>2155668</v>
      </c>
      <c r="F276" s="7" cm="1">
        <f t="array" ref="F276">_xlfn.XLOOKUP(A276&amp;C276, Лист2!$A$2:$A$505&amp;Лист2!$B$2:$B$505, Лист2!$C$2:$C$505)</f>
        <v>19</v>
      </c>
      <c r="G276" s="15" cm="1">
        <f t="array" ref="G276">_xlfn.XLOOKUP(A276&amp;C276, Лист2!$A$2:$A$505&amp;Лист2!$B$2:$B$505, Лист2!$D$2:$D$505)</f>
        <v>1479</v>
      </c>
      <c r="H276" s="18" cm="1">
        <f t="array" ref="H276">_xlfn.XLOOKUP(A276&amp;C276, Лист2!$A$2:$A$505&amp;Лист2!$B$2:$B$505, Лист2!$E$2:$E$505)</f>
        <v>1346</v>
      </c>
      <c r="I276" s="16">
        <f t="shared" si="9"/>
        <v>1241.4473684210527</v>
      </c>
    </row>
    <row r="277" spans="1:9" ht="14.25" customHeight="1" x14ac:dyDescent="0.3">
      <c r="A277" s="8">
        <v>43953</v>
      </c>
      <c r="B277">
        <f t="shared" si="8"/>
        <v>18</v>
      </c>
      <c r="C277" s="9" t="s">
        <v>20</v>
      </c>
      <c r="D277" s="9">
        <v>18427.5</v>
      </c>
      <c r="E277" s="9">
        <v>1682851.5</v>
      </c>
      <c r="F277" s="7" cm="1">
        <f t="array" ref="F277">_xlfn.XLOOKUP(A277&amp;C277, Лист2!$A$2:$A$505&amp;Лист2!$B$2:$B$505, Лист2!$C$2:$C$505)</f>
        <v>19</v>
      </c>
      <c r="G277" s="15" cm="1">
        <f t="array" ref="G277">_xlfn.XLOOKUP(A277&amp;C277, Лист2!$A$2:$A$505&amp;Лист2!$B$2:$B$505, Лист2!$D$2:$D$505)</f>
        <v>1206</v>
      </c>
      <c r="H277" s="18" cm="1">
        <f t="array" ref="H277">_xlfn.XLOOKUP(A277&amp;C277, Лист2!$A$2:$A$505&amp;Лист2!$B$2:$B$505, Лист2!$E$2:$E$505)</f>
        <v>1080</v>
      </c>
      <c r="I277" s="16">
        <f t="shared" si="9"/>
        <v>969.86842105263156</v>
      </c>
    </row>
    <row r="278" spans="1:9" ht="14.25" customHeight="1" x14ac:dyDescent="0.3">
      <c r="A278" s="5">
        <v>43977</v>
      </c>
      <c r="B278">
        <f t="shared" si="8"/>
        <v>22</v>
      </c>
      <c r="C278" s="6" t="s">
        <v>20</v>
      </c>
      <c r="D278" s="6">
        <v>27156</v>
      </c>
      <c r="E278" s="6">
        <v>2410803</v>
      </c>
      <c r="F278" s="7" cm="1">
        <f t="array" ref="F278">_xlfn.XLOOKUP(A278&amp;C278, Лист2!$A$2:$A$505&amp;Лист2!$B$2:$B$505, Лист2!$C$2:$C$505)</f>
        <v>20</v>
      </c>
      <c r="G278" s="15" cm="1">
        <f t="array" ref="G278">_xlfn.XLOOKUP(A278&amp;C278, Лист2!$A$2:$A$505&amp;Лист2!$B$2:$B$505, Лист2!$D$2:$D$505)</f>
        <v>1814</v>
      </c>
      <c r="H278" s="18" cm="1">
        <f t="array" ref="H278">_xlfn.XLOOKUP(A278&amp;C278, Лист2!$A$2:$A$505&amp;Лист2!$B$2:$B$505, Лист2!$E$2:$E$505)</f>
        <v>1655</v>
      </c>
      <c r="I278" s="16">
        <f t="shared" si="9"/>
        <v>1357.8</v>
      </c>
    </row>
    <row r="279" spans="1:9" ht="14.25" customHeight="1" x14ac:dyDescent="0.3">
      <c r="A279" s="8">
        <v>43952</v>
      </c>
      <c r="B279">
        <f t="shared" si="8"/>
        <v>18</v>
      </c>
      <c r="C279" s="9" t="s">
        <v>20</v>
      </c>
      <c r="D279" s="9">
        <v>35190</v>
      </c>
      <c r="E279" s="9">
        <v>3168510</v>
      </c>
      <c r="F279" s="7" cm="1">
        <f t="array" ref="F279">_xlfn.XLOOKUP(A279&amp;C279, Лист2!$A$2:$A$505&amp;Лист2!$B$2:$B$505, Лист2!$C$2:$C$505)</f>
        <v>19</v>
      </c>
      <c r="G279" s="15" cm="1">
        <f t="array" ref="G279">_xlfn.XLOOKUP(A279&amp;C279, Лист2!$A$2:$A$505&amp;Лист2!$B$2:$B$505, Лист2!$D$2:$D$505)</f>
        <v>1987</v>
      </c>
      <c r="H279" s="18" cm="1">
        <f t="array" ref="H279">_xlfn.XLOOKUP(A279&amp;C279, Лист2!$A$2:$A$505&amp;Лист2!$B$2:$B$505, Лист2!$E$2:$E$505)</f>
        <v>1791</v>
      </c>
      <c r="I279" s="16">
        <f t="shared" si="9"/>
        <v>1852.1052631578948</v>
      </c>
    </row>
    <row r="280" spans="1:9" ht="14.25" customHeight="1" x14ac:dyDescent="0.3">
      <c r="A280" s="5">
        <v>43963</v>
      </c>
      <c r="B280">
        <f t="shared" si="8"/>
        <v>20</v>
      </c>
      <c r="C280" s="6" t="s">
        <v>20</v>
      </c>
      <c r="D280" s="6">
        <v>25483.5</v>
      </c>
      <c r="E280" s="6">
        <v>2243160</v>
      </c>
      <c r="F280" s="7" cm="1">
        <f t="array" ref="F280">_xlfn.XLOOKUP(A280&amp;C280, Лист2!$A$2:$A$505&amp;Лист2!$B$2:$B$505, Лист2!$C$2:$C$505)</f>
        <v>19</v>
      </c>
      <c r="G280" s="15" cm="1">
        <f t="array" ref="G280">_xlfn.XLOOKUP(A280&amp;C280, Лист2!$A$2:$A$505&amp;Лист2!$B$2:$B$505, Лист2!$D$2:$D$505)</f>
        <v>1598</v>
      </c>
      <c r="H280" s="18" cm="1">
        <f t="array" ref="H280">_xlfn.XLOOKUP(A280&amp;C280, Лист2!$A$2:$A$505&amp;Лист2!$B$2:$B$505, Лист2!$E$2:$E$505)</f>
        <v>1454</v>
      </c>
      <c r="I280" s="16">
        <f t="shared" si="9"/>
        <v>1341.2368421052631</v>
      </c>
    </row>
    <row r="281" spans="1:9" ht="14.25" customHeight="1" x14ac:dyDescent="0.3">
      <c r="A281" s="8">
        <v>43972</v>
      </c>
      <c r="B281">
        <f t="shared" si="8"/>
        <v>21</v>
      </c>
      <c r="C281" s="9" t="s">
        <v>20</v>
      </c>
      <c r="D281" s="9">
        <v>25362</v>
      </c>
      <c r="E281" s="9">
        <v>2198935.5</v>
      </c>
      <c r="F281" s="7" cm="1">
        <f t="array" ref="F281">_xlfn.XLOOKUP(A281&amp;C281, Лист2!$A$2:$A$505&amp;Лист2!$B$2:$B$505, Лист2!$C$2:$C$505)</f>
        <v>19</v>
      </c>
      <c r="G281" s="15" cm="1">
        <f t="array" ref="G281">_xlfn.XLOOKUP(A281&amp;C281, Лист2!$A$2:$A$505&amp;Лист2!$B$2:$B$505, Лист2!$D$2:$D$505)</f>
        <v>1650</v>
      </c>
      <c r="H281" s="18" cm="1">
        <f t="array" ref="H281">_xlfn.XLOOKUP(A281&amp;C281, Лист2!$A$2:$A$505&amp;Лист2!$B$2:$B$505, Лист2!$E$2:$E$505)</f>
        <v>1505</v>
      </c>
      <c r="I281" s="16">
        <f t="shared" si="9"/>
        <v>1334.8421052631579</v>
      </c>
    </row>
    <row r="282" spans="1:9" ht="14.25" customHeight="1" x14ac:dyDescent="0.3">
      <c r="A282" s="5">
        <v>43971</v>
      </c>
      <c r="B282">
        <f t="shared" si="8"/>
        <v>21</v>
      </c>
      <c r="C282" s="6" t="s">
        <v>20</v>
      </c>
      <c r="D282" s="6">
        <v>28849.5</v>
      </c>
      <c r="E282" s="6">
        <v>2520759</v>
      </c>
      <c r="F282" s="7" cm="1">
        <f t="array" ref="F282">_xlfn.XLOOKUP(A282&amp;C282, Лист2!$A$2:$A$505&amp;Лист2!$B$2:$B$505, Лист2!$C$2:$C$505)</f>
        <v>19</v>
      </c>
      <c r="G282" s="15" cm="1">
        <f t="array" ref="G282">_xlfn.XLOOKUP(A282&amp;C282, Лист2!$A$2:$A$505&amp;Лист2!$B$2:$B$505, Лист2!$D$2:$D$505)</f>
        <v>1823</v>
      </c>
      <c r="H282" s="18" cm="1">
        <f t="array" ref="H282">_xlfn.XLOOKUP(A282&amp;C282, Лист2!$A$2:$A$505&amp;Лист2!$B$2:$B$505, Лист2!$E$2:$E$505)</f>
        <v>1678</v>
      </c>
      <c r="I282" s="16">
        <f t="shared" si="9"/>
        <v>1518.3947368421052</v>
      </c>
    </row>
    <row r="283" spans="1:9" ht="14.25" customHeight="1" x14ac:dyDescent="0.3">
      <c r="A283" s="8">
        <v>43956</v>
      </c>
      <c r="B283">
        <f t="shared" si="8"/>
        <v>19</v>
      </c>
      <c r="C283" s="9" t="s">
        <v>20</v>
      </c>
      <c r="D283" s="9">
        <v>26367</v>
      </c>
      <c r="E283" s="9">
        <v>2380333.5</v>
      </c>
      <c r="F283" s="7" cm="1">
        <f t="array" ref="F283">_xlfn.XLOOKUP(A283&amp;C283, Лист2!$A$2:$A$505&amp;Лист2!$B$2:$B$505, Лист2!$C$2:$C$505)</f>
        <v>19</v>
      </c>
      <c r="G283" s="15" cm="1">
        <f t="array" ref="G283">_xlfn.XLOOKUP(A283&amp;C283, Лист2!$A$2:$A$505&amp;Лист2!$B$2:$B$505, Лист2!$D$2:$D$505)</f>
        <v>1622</v>
      </c>
      <c r="H283" s="18" cm="1">
        <f t="array" ref="H283">_xlfn.XLOOKUP(A283&amp;C283, Лист2!$A$2:$A$505&amp;Лист2!$B$2:$B$505, Лист2!$E$2:$E$505)</f>
        <v>1482</v>
      </c>
      <c r="I283" s="16">
        <f t="shared" si="9"/>
        <v>1387.7368421052631</v>
      </c>
    </row>
    <row r="284" spans="1:9" ht="14.25" customHeight="1" x14ac:dyDescent="0.3">
      <c r="A284" s="5">
        <v>43964</v>
      </c>
      <c r="B284">
        <f t="shared" si="8"/>
        <v>20</v>
      </c>
      <c r="C284" s="6" t="s">
        <v>20</v>
      </c>
      <c r="D284" s="6">
        <v>25539</v>
      </c>
      <c r="E284" s="6">
        <v>2263651.5</v>
      </c>
      <c r="F284" s="7" cm="1">
        <f t="array" ref="F284">_xlfn.XLOOKUP(A284&amp;C284, Лист2!$A$2:$A$505&amp;Лист2!$B$2:$B$505, Лист2!$C$2:$C$505)</f>
        <v>19</v>
      </c>
      <c r="G284" s="15" cm="1">
        <f t="array" ref="G284">_xlfn.XLOOKUP(A284&amp;C284, Лист2!$A$2:$A$505&amp;Лист2!$B$2:$B$505, Лист2!$D$2:$D$505)</f>
        <v>1605</v>
      </c>
      <c r="H284" s="18" cm="1">
        <f t="array" ref="H284">_xlfn.XLOOKUP(A284&amp;C284, Лист2!$A$2:$A$505&amp;Лист2!$B$2:$B$505, Лист2!$E$2:$E$505)</f>
        <v>1447</v>
      </c>
      <c r="I284" s="16">
        <f t="shared" si="9"/>
        <v>1344.1578947368421</v>
      </c>
    </row>
    <row r="285" spans="1:9" ht="14.25" customHeight="1" x14ac:dyDescent="0.3">
      <c r="A285" s="8">
        <v>43982</v>
      </c>
      <c r="B285">
        <f t="shared" si="8"/>
        <v>22</v>
      </c>
      <c r="C285" s="9" t="s">
        <v>19</v>
      </c>
      <c r="D285" s="9">
        <v>14808</v>
      </c>
      <c r="E285" s="9">
        <v>1336789.5</v>
      </c>
      <c r="F285" s="7" cm="1">
        <f t="array" ref="F285">_xlfn.XLOOKUP(A285&amp;C285, Лист2!$A$2:$A$505&amp;Лист2!$B$2:$B$505, Лист2!$C$2:$C$505)</f>
        <v>16</v>
      </c>
      <c r="G285" s="15" cm="1">
        <f t="array" ref="G285">_xlfn.XLOOKUP(A285&amp;C285, Лист2!$A$2:$A$505&amp;Лист2!$B$2:$B$505, Лист2!$D$2:$D$505)</f>
        <v>917</v>
      </c>
      <c r="H285" s="18" cm="1">
        <f t="array" ref="H285">_xlfn.XLOOKUP(A285&amp;C285, Лист2!$A$2:$A$505&amp;Лист2!$B$2:$B$505, Лист2!$E$2:$E$505)</f>
        <v>802</v>
      </c>
      <c r="I285" s="16">
        <f t="shared" si="9"/>
        <v>925.5</v>
      </c>
    </row>
    <row r="286" spans="1:9" ht="14.25" customHeight="1" x14ac:dyDescent="0.3">
      <c r="A286" s="5">
        <v>43954</v>
      </c>
      <c r="B286">
        <f t="shared" si="8"/>
        <v>18</v>
      </c>
      <c r="C286" s="6" t="s">
        <v>20</v>
      </c>
      <c r="D286" s="6">
        <v>21343.5</v>
      </c>
      <c r="E286" s="6">
        <v>1906557</v>
      </c>
      <c r="F286" s="7" cm="1">
        <f t="array" ref="F286">_xlfn.XLOOKUP(A286&amp;C286, Лист2!$A$2:$A$505&amp;Лист2!$B$2:$B$505, Лист2!$C$2:$C$505)</f>
        <v>19</v>
      </c>
      <c r="G286" s="15" cm="1">
        <f t="array" ref="G286">_xlfn.XLOOKUP(A286&amp;C286, Лист2!$A$2:$A$505&amp;Лист2!$B$2:$B$505, Лист2!$D$2:$D$505)</f>
        <v>1314</v>
      </c>
      <c r="H286" s="18" cm="1">
        <f t="array" ref="H286">_xlfn.XLOOKUP(A286&amp;C286, Лист2!$A$2:$A$505&amp;Лист2!$B$2:$B$505, Лист2!$E$2:$E$505)</f>
        <v>1192</v>
      </c>
      <c r="I286" s="16">
        <f t="shared" si="9"/>
        <v>1123.3421052631579</v>
      </c>
    </row>
    <row r="287" spans="1:9" ht="14.25" customHeight="1" x14ac:dyDescent="0.3">
      <c r="A287" s="8">
        <v>43981</v>
      </c>
      <c r="B287">
        <f t="shared" si="8"/>
        <v>22</v>
      </c>
      <c r="C287" s="9" t="s">
        <v>19</v>
      </c>
      <c r="D287" s="9">
        <v>17946</v>
      </c>
      <c r="E287" s="9">
        <v>1609090.5</v>
      </c>
      <c r="F287" s="7" cm="1">
        <f t="array" ref="F287">_xlfn.XLOOKUP(A287&amp;C287, Лист2!$A$2:$A$505&amp;Лист2!$B$2:$B$505, Лист2!$C$2:$C$505)</f>
        <v>16</v>
      </c>
      <c r="G287" s="15" cm="1">
        <f t="array" ref="G287">_xlfn.XLOOKUP(A287&amp;C287, Лист2!$A$2:$A$505&amp;Лист2!$B$2:$B$505, Лист2!$D$2:$D$505)</f>
        <v>1048</v>
      </c>
      <c r="H287" s="18" cm="1">
        <f t="array" ref="H287">_xlfn.XLOOKUP(A287&amp;C287, Лист2!$A$2:$A$505&amp;Лист2!$B$2:$B$505, Лист2!$E$2:$E$505)</f>
        <v>918</v>
      </c>
      <c r="I287" s="16">
        <f t="shared" si="9"/>
        <v>1121.625</v>
      </c>
    </row>
    <row r="288" spans="1:9" ht="14.25" customHeight="1" x14ac:dyDescent="0.3">
      <c r="A288" s="5">
        <v>43957</v>
      </c>
      <c r="B288">
        <f t="shared" si="8"/>
        <v>19</v>
      </c>
      <c r="C288" s="6" t="s">
        <v>20</v>
      </c>
      <c r="D288" s="6">
        <v>24337.5</v>
      </c>
      <c r="E288" s="6">
        <v>2159350.5</v>
      </c>
      <c r="F288" s="7" cm="1">
        <f t="array" ref="F288">_xlfn.XLOOKUP(A288&amp;C288, Лист2!$A$2:$A$505&amp;Лист2!$B$2:$B$505, Лист2!$C$2:$C$505)</f>
        <v>19</v>
      </c>
      <c r="G288" s="15" cm="1">
        <f t="array" ref="G288">_xlfn.XLOOKUP(A288&amp;C288, Лист2!$A$2:$A$505&amp;Лист2!$B$2:$B$505, Лист2!$D$2:$D$505)</f>
        <v>1509</v>
      </c>
      <c r="H288" s="18" cm="1">
        <f t="array" ref="H288">_xlfn.XLOOKUP(A288&amp;C288, Лист2!$A$2:$A$505&amp;Лист2!$B$2:$B$505, Лист2!$E$2:$E$505)</f>
        <v>1374</v>
      </c>
      <c r="I288" s="16">
        <f t="shared" si="9"/>
        <v>1280.921052631579</v>
      </c>
    </row>
    <row r="289" spans="1:9" ht="14.25" customHeight="1" x14ac:dyDescent="0.3">
      <c r="A289" s="8">
        <v>43974</v>
      </c>
      <c r="B289">
        <f t="shared" si="8"/>
        <v>21</v>
      </c>
      <c r="C289" s="9" t="s">
        <v>20</v>
      </c>
      <c r="D289" s="9">
        <v>36997.5</v>
      </c>
      <c r="E289" s="9">
        <v>3089140.5</v>
      </c>
      <c r="F289" s="7" cm="1">
        <f t="array" ref="F289">_xlfn.XLOOKUP(A289&amp;C289, Лист2!$A$2:$A$505&amp;Лист2!$B$2:$B$505, Лист2!$C$2:$C$505)</f>
        <v>19</v>
      </c>
      <c r="G289" s="15" cm="1">
        <f t="array" ref="G289">_xlfn.XLOOKUP(A289&amp;C289, Лист2!$A$2:$A$505&amp;Лист2!$B$2:$B$505, Лист2!$D$2:$D$505)</f>
        <v>2195</v>
      </c>
      <c r="H289" s="18" cm="1">
        <f t="array" ref="H289">_xlfn.XLOOKUP(A289&amp;C289, Лист2!$A$2:$A$505&amp;Лист2!$B$2:$B$505, Лист2!$E$2:$E$505)</f>
        <v>1999</v>
      </c>
      <c r="I289" s="16">
        <f t="shared" si="9"/>
        <v>1947.2368421052631</v>
      </c>
    </row>
    <row r="290" spans="1:9" ht="14.25" customHeight="1" x14ac:dyDescent="0.3">
      <c r="A290" s="5">
        <v>43979</v>
      </c>
      <c r="B290">
        <f t="shared" si="8"/>
        <v>22</v>
      </c>
      <c r="C290" s="6" t="s">
        <v>19</v>
      </c>
      <c r="D290" s="6">
        <v>13864.5</v>
      </c>
      <c r="E290" s="6">
        <v>1239747</v>
      </c>
      <c r="F290" s="7" cm="1">
        <f t="array" ref="F290">_xlfn.XLOOKUP(A290&amp;C290, Лист2!$A$2:$A$505&amp;Лист2!$B$2:$B$505, Лист2!$C$2:$C$505)</f>
        <v>16</v>
      </c>
      <c r="G290" s="15" cm="1">
        <f t="array" ref="G290">_xlfn.XLOOKUP(A290&amp;C290, Лист2!$A$2:$A$505&amp;Лист2!$B$2:$B$505, Лист2!$D$2:$D$505)</f>
        <v>876</v>
      </c>
      <c r="H290" s="18" cm="1">
        <f t="array" ref="H290">_xlfn.XLOOKUP(A290&amp;C290, Лист2!$A$2:$A$505&amp;Лист2!$B$2:$B$505, Лист2!$E$2:$E$505)</f>
        <v>762</v>
      </c>
      <c r="I290" s="16">
        <f t="shared" si="9"/>
        <v>866.53125</v>
      </c>
    </row>
    <row r="291" spans="1:9" ht="14.25" customHeight="1" x14ac:dyDescent="0.3">
      <c r="A291" s="8">
        <v>43976</v>
      </c>
      <c r="B291">
        <f t="shared" si="8"/>
        <v>22</v>
      </c>
      <c r="C291" s="9" t="s">
        <v>20</v>
      </c>
      <c r="D291" s="9">
        <v>28494</v>
      </c>
      <c r="E291" s="9">
        <v>2512803</v>
      </c>
      <c r="F291" s="7" cm="1">
        <f t="array" ref="F291">_xlfn.XLOOKUP(A291&amp;C291, Лист2!$A$2:$A$505&amp;Лист2!$B$2:$B$505, Лист2!$C$2:$C$505)</f>
        <v>20</v>
      </c>
      <c r="G291" s="15" cm="1">
        <f t="array" ref="G291">_xlfn.XLOOKUP(A291&amp;C291, Лист2!$A$2:$A$505&amp;Лист2!$B$2:$B$505, Лист2!$D$2:$D$505)</f>
        <v>1899</v>
      </c>
      <c r="H291" s="18" cm="1">
        <f t="array" ref="H291">_xlfn.XLOOKUP(A291&amp;C291, Лист2!$A$2:$A$505&amp;Лист2!$B$2:$B$505, Лист2!$E$2:$E$505)</f>
        <v>1738</v>
      </c>
      <c r="I291" s="16">
        <f t="shared" si="9"/>
        <v>1424.7</v>
      </c>
    </row>
    <row r="292" spans="1:9" ht="14.25" customHeight="1" x14ac:dyDescent="0.3">
      <c r="A292" s="5">
        <v>43951</v>
      </c>
      <c r="B292">
        <f t="shared" si="8"/>
        <v>18</v>
      </c>
      <c r="C292" s="6" t="s">
        <v>20</v>
      </c>
      <c r="D292" s="6">
        <v>27883.5</v>
      </c>
      <c r="E292" s="6">
        <v>2560080</v>
      </c>
      <c r="F292" s="7" cm="1">
        <f t="array" ref="F292">_xlfn.XLOOKUP(A292&amp;C292, Лист2!$A$2:$A$505&amp;Лист2!$B$2:$B$505, Лист2!$C$2:$C$505)</f>
        <v>19</v>
      </c>
      <c r="G292" s="15" cm="1">
        <f t="array" ref="G292">_xlfn.XLOOKUP(A292&amp;C292, Лист2!$A$2:$A$505&amp;Лист2!$B$2:$B$505, Лист2!$D$2:$D$505)</f>
        <v>1662</v>
      </c>
      <c r="H292" s="18" cm="1">
        <f t="array" ref="H292">_xlfn.XLOOKUP(A292&amp;C292, Лист2!$A$2:$A$505&amp;Лист2!$B$2:$B$505, Лист2!$E$2:$E$505)</f>
        <v>1506</v>
      </c>
      <c r="I292" s="16">
        <f t="shared" si="9"/>
        <v>1467.5526315789473</v>
      </c>
    </row>
    <row r="293" spans="1:9" ht="14.25" customHeight="1" x14ac:dyDescent="0.3">
      <c r="A293" s="8">
        <v>43961</v>
      </c>
      <c r="B293">
        <f t="shared" si="8"/>
        <v>19</v>
      </c>
      <c r="C293" s="9" t="s">
        <v>20</v>
      </c>
      <c r="D293" s="9">
        <v>31224</v>
      </c>
      <c r="E293" s="9">
        <v>2767270.5</v>
      </c>
      <c r="F293" s="7" cm="1">
        <f t="array" ref="F293">_xlfn.XLOOKUP(A293&amp;C293, Лист2!$A$2:$A$505&amp;Лист2!$B$2:$B$505, Лист2!$C$2:$C$505)</f>
        <v>19</v>
      </c>
      <c r="G293" s="15" cm="1">
        <f t="array" ref="G293">_xlfn.XLOOKUP(A293&amp;C293, Лист2!$A$2:$A$505&amp;Лист2!$B$2:$B$505, Лист2!$D$2:$D$505)</f>
        <v>1836</v>
      </c>
      <c r="H293" s="18" cm="1">
        <f t="array" ref="H293">_xlfn.XLOOKUP(A293&amp;C293, Лист2!$A$2:$A$505&amp;Лист2!$B$2:$B$505, Лист2!$E$2:$E$505)</f>
        <v>1680</v>
      </c>
      <c r="I293" s="16">
        <f t="shared" si="9"/>
        <v>1643.3684210526317</v>
      </c>
    </row>
    <row r="294" spans="1:9" ht="14.25" customHeight="1" x14ac:dyDescent="0.3">
      <c r="A294" s="5">
        <v>43959</v>
      </c>
      <c r="B294">
        <f t="shared" si="8"/>
        <v>19</v>
      </c>
      <c r="C294" s="6" t="s">
        <v>20</v>
      </c>
      <c r="D294" s="6">
        <v>25020</v>
      </c>
      <c r="E294" s="6">
        <v>2235960</v>
      </c>
      <c r="F294" s="7" cm="1">
        <f t="array" ref="F294">_xlfn.XLOOKUP(A294&amp;C294, Лист2!$A$2:$A$505&amp;Лист2!$B$2:$B$505, Лист2!$C$2:$C$505)</f>
        <v>19</v>
      </c>
      <c r="G294" s="15" cm="1">
        <f t="array" ref="G294">_xlfn.XLOOKUP(A294&amp;C294, Лист2!$A$2:$A$505&amp;Лист2!$B$2:$B$505, Лист2!$D$2:$D$505)</f>
        <v>1520</v>
      </c>
      <c r="H294" s="18" cm="1">
        <f t="array" ref="H294">_xlfn.XLOOKUP(A294&amp;C294, Лист2!$A$2:$A$505&amp;Лист2!$B$2:$B$505, Лист2!$E$2:$E$505)</f>
        <v>1380</v>
      </c>
      <c r="I294" s="16">
        <f t="shared" si="9"/>
        <v>1316.8421052631579</v>
      </c>
    </row>
    <row r="295" spans="1:9" ht="14.25" customHeight="1" x14ac:dyDescent="0.3">
      <c r="A295" s="8">
        <v>43958</v>
      </c>
      <c r="B295">
        <f t="shared" si="8"/>
        <v>19</v>
      </c>
      <c r="C295" s="9" t="s">
        <v>20</v>
      </c>
      <c r="D295" s="9">
        <v>26184</v>
      </c>
      <c r="E295" s="9">
        <v>2308336.5</v>
      </c>
      <c r="F295" s="7" cm="1">
        <f t="array" ref="F295">_xlfn.XLOOKUP(A295&amp;C295, Лист2!$A$2:$A$505&amp;Лист2!$B$2:$B$505, Лист2!$C$2:$C$505)</f>
        <v>19</v>
      </c>
      <c r="G295" s="15" cm="1">
        <f t="array" ref="G295">_xlfn.XLOOKUP(A295&amp;C295, Лист2!$A$2:$A$505&amp;Лист2!$B$2:$B$505, Лист2!$D$2:$D$505)</f>
        <v>1580</v>
      </c>
      <c r="H295" s="18" cm="1">
        <f t="array" ref="H295">_xlfn.XLOOKUP(A295&amp;C295, Лист2!$A$2:$A$505&amp;Лист2!$B$2:$B$505, Лист2!$E$2:$E$505)</f>
        <v>1435</v>
      </c>
      <c r="I295" s="16">
        <f t="shared" si="9"/>
        <v>1378.1052631578948</v>
      </c>
    </row>
    <row r="296" spans="1:9" ht="14.25" customHeight="1" x14ac:dyDescent="0.3">
      <c r="A296" s="5">
        <v>43975</v>
      </c>
      <c r="B296">
        <f t="shared" si="8"/>
        <v>21</v>
      </c>
      <c r="C296" s="6" t="s">
        <v>20</v>
      </c>
      <c r="D296" s="6">
        <v>29824.5</v>
      </c>
      <c r="E296" s="6">
        <v>2526909</v>
      </c>
      <c r="F296" s="7" cm="1">
        <f t="array" ref="F296">_xlfn.XLOOKUP(A296&amp;C296, Лист2!$A$2:$A$505&amp;Лист2!$B$2:$B$505, Лист2!$C$2:$C$505)</f>
        <v>19</v>
      </c>
      <c r="G296" s="15" cm="1">
        <f t="array" ref="G296">_xlfn.XLOOKUP(A296&amp;C296, Лист2!$A$2:$A$505&amp;Лист2!$B$2:$B$505, Лист2!$D$2:$D$505)</f>
        <v>1868</v>
      </c>
      <c r="H296" s="18" cm="1">
        <f t="array" ref="H296">_xlfn.XLOOKUP(A296&amp;C296, Лист2!$A$2:$A$505&amp;Лист2!$B$2:$B$505, Лист2!$E$2:$E$505)</f>
        <v>1706</v>
      </c>
      <c r="I296" s="16">
        <f t="shared" si="9"/>
        <v>1569.7105263157894</v>
      </c>
    </row>
    <row r="297" spans="1:9" ht="14.25" customHeight="1" x14ac:dyDescent="0.3">
      <c r="A297" s="8">
        <v>43950</v>
      </c>
      <c r="B297">
        <f t="shared" si="8"/>
        <v>18</v>
      </c>
      <c r="C297" s="9" t="s">
        <v>21</v>
      </c>
      <c r="D297" s="9">
        <v>208351.5</v>
      </c>
      <c r="E297" s="9">
        <v>21615333</v>
      </c>
      <c r="F297" s="7" cm="1">
        <f t="array" ref="F297">_xlfn.XLOOKUP(A297&amp;C297, Лист2!$A$2:$A$505&amp;Лист2!$B$2:$B$505, Лист2!$C$2:$C$505)</f>
        <v>59</v>
      </c>
      <c r="G297" s="15" cm="1">
        <f t="array" ref="G297">_xlfn.XLOOKUP(A297&amp;C297, Лист2!$A$2:$A$505&amp;Лист2!$B$2:$B$505, Лист2!$D$2:$D$505)</f>
        <v>13186</v>
      </c>
      <c r="H297" s="18" cm="1">
        <f t="array" ref="H297">_xlfn.XLOOKUP(A297&amp;C297, Лист2!$A$2:$A$505&amp;Лист2!$B$2:$B$505, Лист2!$E$2:$E$505)</f>
        <v>12251</v>
      </c>
      <c r="I297" s="16">
        <f t="shared" si="9"/>
        <v>3531.3813559322034</v>
      </c>
    </row>
    <row r="298" spans="1:9" ht="14.25" customHeight="1" x14ac:dyDescent="0.3">
      <c r="A298" s="5">
        <v>43949</v>
      </c>
      <c r="B298">
        <f t="shared" si="8"/>
        <v>18</v>
      </c>
      <c r="C298" s="6" t="s">
        <v>21</v>
      </c>
      <c r="D298" s="6">
        <v>204637.5</v>
      </c>
      <c r="E298" s="6">
        <v>21114898.5</v>
      </c>
      <c r="F298" s="7" cm="1">
        <f t="array" ref="F298">_xlfn.XLOOKUP(A298&amp;C298, Лист2!$A$2:$A$505&amp;Лист2!$B$2:$B$505, Лист2!$C$2:$C$505)</f>
        <v>59</v>
      </c>
      <c r="G298" s="15" cm="1">
        <f t="array" ref="G298">_xlfn.XLOOKUP(A298&amp;C298, Лист2!$A$2:$A$505&amp;Лист2!$B$2:$B$505, Лист2!$D$2:$D$505)</f>
        <v>12943</v>
      </c>
      <c r="H298" s="18" cm="1">
        <f t="array" ref="H298">_xlfn.XLOOKUP(A298&amp;C298, Лист2!$A$2:$A$505&amp;Лист2!$B$2:$B$505, Лист2!$E$2:$E$505)</f>
        <v>12072</v>
      </c>
      <c r="I298" s="16">
        <f t="shared" si="9"/>
        <v>3468.4322033898306</v>
      </c>
    </row>
    <row r="299" spans="1:9" ht="14.25" customHeight="1" x14ac:dyDescent="0.3">
      <c r="A299" s="8">
        <v>43982</v>
      </c>
      <c r="B299">
        <f t="shared" si="8"/>
        <v>22</v>
      </c>
      <c r="C299" s="9" t="s">
        <v>20</v>
      </c>
      <c r="D299" s="9">
        <v>31372.5</v>
      </c>
      <c r="E299" s="9">
        <v>2794324.5</v>
      </c>
      <c r="F299" s="7" cm="1">
        <f t="array" ref="F299">_xlfn.XLOOKUP(A299&amp;C299, Лист2!$A$2:$A$505&amp;Лист2!$B$2:$B$505, Лист2!$C$2:$C$505)</f>
        <v>21</v>
      </c>
      <c r="G299" s="15" cm="1">
        <f t="array" ref="G299">_xlfn.XLOOKUP(A299&amp;C299, Лист2!$A$2:$A$505&amp;Лист2!$B$2:$B$505, Лист2!$D$2:$D$505)</f>
        <v>2056</v>
      </c>
      <c r="H299" s="18" cm="1">
        <f t="array" ref="H299">_xlfn.XLOOKUP(A299&amp;C299, Лист2!$A$2:$A$505&amp;Лист2!$B$2:$B$505, Лист2!$E$2:$E$505)</f>
        <v>1879</v>
      </c>
      <c r="I299" s="16">
        <f t="shared" si="9"/>
        <v>1493.9285714285713</v>
      </c>
    </row>
    <row r="300" spans="1:9" ht="14.25" customHeight="1" x14ac:dyDescent="0.3">
      <c r="A300" s="5">
        <v>43981</v>
      </c>
      <c r="B300">
        <f t="shared" si="8"/>
        <v>22</v>
      </c>
      <c r="C300" s="6" t="s">
        <v>20</v>
      </c>
      <c r="D300" s="6">
        <v>34681.5</v>
      </c>
      <c r="E300" s="6">
        <v>3005334</v>
      </c>
      <c r="F300" s="7" cm="1">
        <f t="array" ref="F300">_xlfn.XLOOKUP(A300&amp;C300, Лист2!$A$2:$A$505&amp;Лист2!$B$2:$B$505, Лист2!$C$2:$C$505)</f>
        <v>20</v>
      </c>
      <c r="G300" s="15" cm="1">
        <f t="array" ref="G300">_xlfn.XLOOKUP(A300&amp;C300, Лист2!$A$2:$A$505&amp;Лист2!$B$2:$B$505, Лист2!$D$2:$D$505)</f>
        <v>2174</v>
      </c>
      <c r="H300" s="18" cm="1">
        <f t="array" ref="H300">_xlfn.XLOOKUP(A300&amp;C300, Лист2!$A$2:$A$505&amp;Лист2!$B$2:$B$505, Лист2!$E$2:$E$505)</f>
        <v>1957</v>
      </c>
      <c r="I300" s="16">
        <f t="shared" si="9"/>
        <v>1734.075</v>
      </c>
    </row>
    <row r="301" spans="1:9" ht="14.25" customHeight="1" x14ac:dyDescent="0.3">
      <c r="A301" s="8">
        <v>43979</v>
      </c>
      <c r="B301">
        <f t="shared" si="8"/>
        <v>22</v>
      </c>
      <c r="C301" s="9" t="s">
        <v>20</v>
      </c>
      <c r="D301" s="9">
        <v>28197</v>
      </c>
      <c r="E301" s="9">
        <v>2559211.5</v>
      </c>
      <c r="F301" s="7" cm="1">
        <f t="array" ref="F301">_xlfn.XLOOKUP(A301&amp;C301, Лист2!$A$2:$A$505&amp;Лист2!$B$2:$B$505, Лист2!$C$2:$C$505)</f>
        <v>20</v>
      </c>
      <c r="G301" s="15" cm="1">
        <f t="array" ref="G301">_xlfn.XLOOKUP(A301&amp;C301, Лист2!$A$2:$A$505&amp;Лист2!$B$2:$B$505, Лист2!$D$2:$D$505)</f>
        <v>1875</v>
      </c>
      <c r="H301" s="18" cm="1">
        <f t="array" ref="H301">_xlfn.XLOOKUP(A301&amp;C301, Лист2!$A$2:$A$505&amp;Лист2!$B$2:$B$505, Лист2!$E$2:$E$505)</f>
        <v>1701</v>
      </c>
      <c r="I301" s="16">
        <f t="shared" si="9"/>
        <v>1409.85</v>
      </c>
    </row>
    <row r="302" spans="1:9" ht="14.25" customHeight="1" x14ac:dyDescent="0.3">
      <c r="A302" s="5">
        <v>43967</v>
      </c>
      <c r="B302">
        <f t="shared" si="8"/>
        <v>20</v>
      </c>
      <c r="C302" s="6" t="s">
        <v>21</v>
      </c>
      <c r="D302" s="6">
        <v>236551.5</v>
      </c>
      <c r="E302" s="6">
        <v>23689383</v>
      </c>
      <c r="F302" s="7" cm="1">
        <f t="array" ref="F302">_xlfn.XLOOKUP(A302&amp;C302, Лист2!$A$2:$A$505&amp;Лист2!$B$2:$B$505, Лист2!$C$2:$C$505)</f>
        <v>60</v>
      </c>
      <c r="G302" s="15" cm="1">
        <f t="array" ref="G302">_xlfn.XLOOKUP(A302&amp;C302, Лист2!$A$2:$A$505&amp;Лист2!$B$2:$B$505, Лист2!$D$2:$D$505)</f>
        <v>14049</v>
      </c>
      <c r="H302" s="18" cm="1">
        <f t="array" ref="H302">_xlfn.XLOOKUP(A302&amp;C302, Лист2!$A$2:$A$505&amp;Лист2!$B$2:$B$505, Лист2!$E$2:$E$505)</f>
        <v>13118</v>
      </c>
      <c r="I302" s="16">
        <f t="shared" si="9"/>
        <v>3942.5250000000001</v>
      </c>
    </row>
    <row r="303" spans="1:9" ht="14.25" customHeight="1" x14ac:dyDescent="0.3">
      <c r="A303" s="8">
        <v>43970</v>
      </c>
      <c r="B303">
        <f t="shared" si="8"/>
        <v>21</v>
      </c>
      <c r="C303" s="9" t="s">
        <v>21</v>
      </c>
      <c r="D303" s="9">
        <v>223597.5</v>
      </c>
      <c r="E303" s="9">
        <v>21945858</v>
      </c>
      <c r="F303" s="7" cm="1">
        <f t="array" ref="F303">_xlfn.XLOOKUP(A303&amp;C303, Лист2!$A$2:$A$505&amp;Лист2!$B$2:$B$505, Лист2!$C$2:$C$505)</f>
        <v>60</v>
      </c>
      <c r="G303" s="15" cm="1">
        <f t="array" ref="G303">_xlfn.XLOOKUP(A303&amp;C303, Лист2!$A$2:$A$505&amp;Лист2!$B$2:$B$505, Лист2!$D$2:$D$505)</f>
        <v>13867</v>
      </c>
      <c r="H303" s="18" cm="1">
        <f t="array" ref="H303">_xlfn.XLOOKUP(A303&amp;C303, Лист2!$A$2:$A$505&amp;Лист2!$B$2:$B$505, Лист2!$E$2:$E$505)</f>
        <v>12987</v>
      </c>
      <c r="I303" s="16">
        <f t="shared" si="9"/>
        <v>3726.625</v>
      </c>
    </row>
    <row r="304" spans="1:9" ht="14.25" customHeight="1" x14ac:dyDescent="0.3">
      <c r="A304" s="5">
        <v>43968</v>
      </c>
      <c r="B304">
        <f t="shared" si="8"/>
        <v>20</v>
      </c>
      <c r="C304" s="6" t="s">
        <v>21</v>
      </c>
      <c r="D304" s="6">
        <v>193363.5</v>
      </c>
      <c r="E304" s="6">
        <v>19546386</v>
      </c>
      <c r="F304" s="7" cm="1">
        <f t="array" ref="F304">_xlfn.XLOOKUP(A304&amp;C304, Лист2!$A$2:$A$505&amp;Лист2!$B$2:$B$505, Лист2!$C$2:$C$505)</f>
        <v>60</v>
      </c>
      <c r="G304" s="15" cm="1">
        <f t="array" ref="G304">_xlfn.XLOOKUP(A304&amp;C304, Лист2!$A$2:$A$505&amp;Лист2!$B$2:$B$505, Лист2!$D$2:$D$505)</f>
        <v>11698</v>
      </c>
      <c r="H304" s="18" cm="1">
        <f t="array" ref="H304">_xlfn.XLOOKUP(A304&amp;C304, Лист2!$A$2:$A$505&amp;Лист2!$B$2:$B$505, Лист2!$E$2:$E$505)</f>
        <v>10989</v>
      </c>
      <c r="I304" s="16">
        <f t="shared" si="9"/>
        <v>3222.7249999999999</v>
      </c>
    </row>
    <row r="305" spans="1:9" ht="14.25" customHeight="1" x14ac:dyDescent="0.3">
      <c r="A305" s="8">
        <v>43960</v>
      </c>
      <c r="B305">
        <f t="shared" si="8"/>
        <v>19</v>
      </c>
      <c r="C305" s="9" t="s">
        <v>21</v>
      </c>
      <c r="D305" s="9">
        <v>188319</v>
      </c>
      <c r="E305" s="9">
        <v>19218631.5</v>
      </c>
      <c r="F305" s="7" cm="1">
        <f t="array" ref="F305">_xlfn.XLOOKUP(A305&amp;C305, Лист2!$A$2:$A$505&amp;Лист2!$B$2:$B$505, Лист2!$C$2:$C$505)</f>
        <v>59</v>
      </c>
      <c r="G305" s="15" cm="1">
        <f t="array" ref="G305">_xlfn.XLOOKUP(A305&amp;C305, Лист2!$A$2:$A$505&amp;Лист2!$B$2:$B$505, Лист2!$D$2:$D$505)</f>
        <v>12016</v>
      </c>
      <c r="H305" s="18" cm="1">
        <f t="array" ref="H305">_xlfn.XLOOKUP(A305&amp;C305, Лист2!$A$2:$A$505&amp;Лист2!$B$2:$B$505, Лист2!$E$2:$E$505)</f>
        <v>11137</v>
      </c>
      <c r="I305" s="16">
        <f t="shared" si="9"/>
        <v>3191.8474576271187</v>
      </c>
    </row>
    <row r="306" spans="1:9" ht="14.25" customHeight="1" x14ac:dyDescent="0.3">
      <c r="A306" s="5">
        <v>43955</v>
      </c>
      <c r="B306">
        <f t="shared" si="8"/>
        <v>19</v>
      </c>
      <c r="C306" s="6" t="s">
        <v>21</v>
      </c>
      <c r="D306" s="6">
        <v>237544.5</v>
      </c>
      <c r="E306" s="6">
        <v>24292218</v>
      </c>
      <c r="F306" s="7" cm="1">
        <f t="array" ref="F306">_xlfn.XLOOKUP(A306&amp;C306, Лист2!$A$2:$A$505&amp;Лист2!$B$2:$B$505, Лист2!$C$2:$C$505)</f>
        <v>59</v>
      </c>
      <c r="G306" s="15" cm="1">
        <f t="array" ref="G306">_xlfn.XLOOKUP(A306&amp;C306, Лист2!$A$2:$A$505&amp;Лист2!$B$2:$B$505, Лист2!$D$2:$D$505)</f>
        <v>14423</v>
      </c>
      <c r="H306" s="18" cm="1">
        <f t="array" ref="H306">_xlfn.XLOOKUP(A306&amp;C306, Лист2!$A$2:$A$505&amp;Лист2!$B$2:$B$505, Лист2!$E$2:$E$505)</f>
        <v>13432</v>
      </c>
      <c r="I306" s="16">
        <f t="shared" si="9"/>
        <v>4026.1779661016949</v>
      </c>
    </row>
    <row r="307" spans="1:9" ht="14.25" customHeight="1" x14ac:dyDescent="0.3">
      <c r="A307" s="8">
        <v>43950</v>
      </c>
      <c r="B307">
        <f t="shared" si="8"/>
        <v>18</v>
      </c>
      <c r="C307" s="9" t="s">
        <v>22</v>
      </c>
      <c r="D307" s="9">
        <v>203209.5</v>
      </c>
      <c r="E307" s="9">
        <v>20871391.5</v>
      </c>
      <c r="F307" s="7" cm="1">
        <f t="array" ref="F307">_xlfn.XLOOKUP(A307&amp;C307, Лист2!$A$2:$A$505&amp;Лист2!$B$2:$B$505, Лист2!$C$2:$C$505)</f>
        <v>54</v>
      </c>
      <c r="G307" s="15" cm="1">
        <f t="array" ref="G307">_xlfn.XLOOKUP(A307&amp;C307, Лист2!$A$2:$A$505&amp;Лист2!$B$2:$B$505, Лист2!$D$2:$D$505)</f>
        <v>12747</v>
      </c>
      <c r="H307" s="18" cm="1">
        <f t="array" ref="H307">_xlfn.XLOOKUP(A307&amp;C307, Лист2!$A$2:$A$505&amp;Лист2!$B$2:$B$505, Лист2!$E$2:$E$505)</f>
        <v>11884</v>
      </c>
      <c r="I307" s="16">
        <f t="shared" si="9"/>
        <v>3763.1388888888887</v>
      </c>
    </row>
    <row r="308" spans="1:9" ht="14.25" customHeight="1" x14ac:dyDescent="0.3">
      <c r="A308" s="5">
        <v>43953</v>
      </c>
      <c r="B308">
        <f t="shared" si="8"/>
        <v>18</v>
      </c>
      <c r="C308" s="6" t="s">
        <v>21</v>
      </c>
      <c r="D308" s="6">
        <v>185979</v>
      </c>
      <c r="E308" s="6">
        <v>19625364</v>
      </c>
      <c r="F308" s="7" cm="1">
        <f t="array" ref="F308">_xlfn.XLOOKUP(A308&amp;C308, Лист2!$A$2:$A$505&amp;Лист2!$B$2:$B$505, Лист2!$C$2:$C$505)</f>
        <v>59</v>
      </c>
      <c r="G308" s="15" cm="1">
        <f t="array" ref="G308">_xlfn.XLOOKUP(A308&amp;C308, Лист2!$A$2:$A$505&amp;Лист2!$B$2:$B$505, Лист2!$D$2:$D$505)</f>
        <v>12429</v>
      </c>
      <c r="H308" s="18" cm="1">
        <f t="array" ref="H308">_xlfn.XLOOKUP(A308&amp;C308, Лист2!$A$2:$A$505&amp;Лист2!$B$2:$B$505, Лист2!$E$2:$E$505)</f>
        <v>11477</v>
      </c>
      <c r="I308" s="16">
        <f t="shared" si="9"/>
        <v>3152.1864406779659</v>
      </c>
    </row>
    <row r="309" spans="1:9" ht="14.25" customHeight="1" x14ac:dyDescent="0.3">
      <c r="A309" s="8">
        <v>43977</v>
      </c>
      <c r="B309">
        <f t="shared" si="8"/>
        <v>22</v>
      </c>
      <c r="C309" s="9" t="s">
        <v>21</v>
      </c>
      <c r="D309" s="9">
        <v>244905</v>
      </c>
      <c r="E309" s="9">
        <v>25163431.5</v>
      </c>
      <c r="F309" s="7" cm="1">
        <f t="array" ref="F309">_xlfn.XLOOKUP(A309&amp;C309, Лист2!$A$2:$A$505&amp;Лист2!$B$2:$B$505, Лист2!$C$2:$C$505)</f>
        <v>59</v>
      </c>
      <c r="G309" s="15" cm="1">
        <f t="array" ref="G309">_xlfn.XLOOKUP(A309&amp;C309, Лист2!$A$2:$A$505&amp;Лист2!$B$2:$B$505, Лист2!$D$2:$D$505)</f>
        <v>15369</v>
      </c>
      <c r="H309" s="18" cm="1">
        <f t="array" ref="H309">_xlfn.XLOOKUP(A309&amp;C309, Лист2!$A$2:$A$505&amp;Лист2!$B$2:$B$505, Лист2!$E$2:$E$505)</f>
        <v>14299</v>
      </c>
      <c r="I309" s="16">
        <f t="shared" si="9"/>
        <v>4150.9322033898306</v>
      </c>
    </row>
    <row r="310" spans="1:9" ht="14.25" customHeight="1" x14ac:dyDescent="0.3">
      <c r="A310" s="5">
        <v>43952</v>
      </c>
      <c r="B310">
        <f t="shared" si="8"/>
        <v>18</v>
      </c>
      <c r="C310" s="6" t="s">
        <v>21</v>
      </c>
      <c r="D310" s="6">
        <v>239409</v>
      </c>
      <c r="E310" s="6">
        <v>25413351</v>
      </c>
      <c r="F310" s="7" cm="1">
        <f t="array" ref="F310">_xlfn.XLOOKUP(A310&amp;C310, Лист2!$A$2:$A$505&amp;Лист2!$B$2:$B$505, Лист2!$C$2:$C$505)</f>
        <v>59</v>
      </c>
      <c r="G310" s="15" cm="1">
        <f t="array" ref="G310">_xlfn.XLOOKUP(A310&amp;C310, Лист2!$A$2:$A$505&amp;Лист2!$B$2:$B$505, Лист2!$D$2:$D$505)</f>
        <v>15222</v>
      </c>
      <c r="H310" s="18" cm="1">
        <f t="array" ref="H310">_xlfn.XLOOKUP(A310&amp;C310, Лист2!$A$2:$A$505&amp;Лист2!$B$2:$B$505, Лист2!$E$2:$E$505)</f>
        <v>13873</v>
      </c>
      <c r="I310" s="16">
        <f t="shared" si="9"/>
        <v>4057.7796610169494</v>
      </c>
    </row>
    <row r="311" spans="1:9" ht="14.25" customHeight="1" x14ac:dyDescent="0.3">
      <c r="A311" s="8">
        <v>43963</v>
      </c>
      <c r="B311">
        <f t="shared" si="8"/>
        <v>20</v>
      </c>
      <c r="C311" s="9" t="s">
        <v>21</v>
      </c>
      <c r="D311" s="9">
        <v>192886.5</v>
      </c>
      <c r="E311" s="9">
        <v>19205179.5</v>
      </c>
      <c r="F311" s="7" cm="1">
        <f t="array" ref="F311">_xlfn.XLOOKUP(A311&amp;C311, Лист2!$A$2:$A$505&amp;Лист2!$B$2:$B$505, Лист2!$C$2:$C$505)</f>
        <v>60</v>
      </c>
      <c r="G311" s="15" cm="1">
        <f t="array" ref="G311">_xlfn.XLOOKUP(A311&amp;C311, Лист2!$A$2:$A$505&amp;Лист2!$B$2:$B$505, Лист2!$D$2:$D$505)</f>
        <v>12000</v>
      </c>
      <c r="H311" s="18" cm="1">
        <f t="array" ref="H311">_xlfn.XLOOKUP(A311&amp;C311, Лист2!$A$2:$A$505&amp;Лист2!$B$2:$B$505, Лист2!$E$2:$E$505)</f>
        <v>11194</v>
      </c>
      <c r="I311" s="16">
        <f t="shared" si="9"/>
        <v>3214.7750000000001</v>
      </c>
    </row>
    <row r="312" spans="1:9" ht="14.25" customHeight="1" x14ac:dyDescent="0.3">
      <c r="A312" s="5">
        <v>43972</v>
      </c>
      <c r="B312">
        <f t="shared" si="8"/>
        <v>21</v>
      </c>
      <c r="C312" s="6" t="s">
        <v>21</v>
      </c>
      <c r="D312" s="6">
        <v>224233.5</v>
      </c>
      <c r="E312" s="6">
        <v>22253295</v>
      </c>
      <c r="F312" s="7" cm="1">
        <f t="array" ref="F312">_xlfn.XLOOKUP(A312&amp;C312, Лист2!$A$2:$A$505&amp;Лист2!$B$2:$B$505, Лист2!$C$2:$C$505)</f>
        <v>60</v>
      </c>
      <c r="G312" s="15" cm="1">
        <f t="array" ref="G312">_xlfn.XLOOKUP(A312&amp;C312, Лист2!$A$2:$A$505&amp;Лист2!$B$2:$B$505, Лист2!$D$2:$D$505)</f>
        <v>14005</v>
      </c>
      <c r="H312" s="18" cm="1">
        <f t="array" ref="H312">_xlfn.XLOOKUP(A312&amp;C312, Лист2!$A$2:$A$505&amp;Лист2!$B$2:$B$505, Лист2!$E$2:$E$505)</f>
        <v>13002</v>
      </c>
      <c r="I312" s="16">
        <f t="shared" si="9"/>
        <v>3737.2249999999999</v>
      </c>
    </row>
    <row r="313" spans="1:9" ht="14.25" customHeight="1" x14ac:dyDescent="0.3">
      <c r="A313" s="8">
        <v>43971</v>
      </c>
      <c r="B313">
        <f t="shared" si="8"/>
        <v>21</v>
      </c>
      <c r="C313" s="9" t="s">
        <v>21</v>
      </c>
      <c r="D313" s="9">
        <v>219622.5</v>
      </c>
      <c r="E313" s="9">
        <v>21959286</v>
      </c>
      <c r="F313" s="7" cm="1">
        <f t="array" ref="F313">_xlfn.XLOOKUP(A313&amp;C313, Лист2!$A$2:$A$505&amp;Лист2!$B$2:$B$505, Лист2!$C$2:$C$505)</f>
        <v>60</v>
      </c>
      <c r="G313" s="15" cm="1">
        <f t="array" ref="G313">_xlfn.XLOOKUP(A313&amp;C313, Лист2!$A$2:$A$505&amp;Лист2!$B$2:$B$505, Лист2!$D$2:$D$505)</f>
        <v>13792</v>
      </c>
      <c r="H313" s="18" cm="1">
        <f t="array" ref="H313">_xlfn.XLOOKUP(A313&amp;C313, Лист2!$A$2:$A$505&amp;Лист2!$B$2:$B$505, Лист2!$E$2:$E$505)</f>
        <v>12834</v>
      </c>
      <c r="I313" s="16">
        <f t="shared" si="9"/>
        <v>3660.375</v>
      </c>
    </row>
    <row r="314" spans="1:9" ht="14.25" customHeight="1" x14ac:dyDescent="0.3">
      <c r="A314" s="5">
        <v>43956</v>
      </c>
      <c r="B314">
        <f t="shared" si="8"/>
        <v>19</v>
      </c>
      <c r="C314" s="6" t="s">
        <v>21</v>
      </c>
      <c r="D314" s="6">
        <v>213582</v>
      </c>
      <c r="E314" s="6">
        <v>21919435.5</v>
      </c>
      <c r="F314" s="7" cm="1">
        <f t="array" ref="F314">_xlfn.XLOOKUP(A314&amp;C314, Лист2!$A$2:$A$505&amp;Лист2!$B$2:$B$505, Лист2!$C$2:$C$505)</f>
        <v>59</v>
      </c>
      <c r="G314" s="15" cm="1">
        <f t="array" ref="G314">_xlfn.XLOOKUP(A314&amp;C314, Лист2!$A$2:$A$505&amp;Лист2!$B$2:$B$505, Лист2!$D$2:$D$505)</f>
        <v>13469</v>
      </c>
      <c r="H314" s="18" cm="1">
        <f t="array" ref="H314">_xlfn.XLOOKUP(A314&amp;C314, Лист2!$A$2:$A$505&amp;Лист2!$B$2:$B$505, Лист2!$E$2:$E$505)</f>
        <v>12486</v>
      </c>
      <c r="I314" s="16">
        <f t="shared" si="9"/>
        <v>3620.0338983050847</v>
      </c>
    </row>
    <row r="315" spans="1:9" ht="14.25" customHeight="1" x14ac:dyDescent="0.3">
      <c r="A315" s="8">
        <v>43949</v>
      </c>
      <c r="B315">
        <f t="shared" si="8"/>
        <v>18</v>
      </c>
      <c r="C315" s="9" t="s">
        <v>22</v>
      </c>
      <c r="D315" s="9">
        <v>195705</v>
      </c>
      <c r="E315" s="9">
        <v>20003263.5</v>
      </c>
      <c r="F315" s="7" cm="1">
        <f t="array" ref="F315">_xlfn.XLOOKUP(A315&amp;C315, Лист2!$A$2:$A$505&amp;Лист2!$B$2:$B$505, Лист2!$C$2:$C$505)</f>
        <v>54</v>
      </c>
      <c r="G315" s="15" cm="1">
        <f t="array" ref="G315">_xlfn.XLOOKUP(A315&amp;C315, Лист2!$A$2:$A$505&amp;Лист2!$B$2:$B$505, Лист2!$D$2:$D$505)</f>
        <v>12306</v>
      </c>
      <c r="H315" s="18" cm="1">
        <f t="array" ref="H315">_xlfn.XLOOKUP(A315&amp;C315, Лист2!$A$2:$A$505&amp;Лист2!$B$2:$B$505, Лист2!$E$2:$E$505)</f>
        <v>11532</v>
      </c>
      <c r="I315" s="16">
        <f t="shared" si="9"/>
        <v>3624.1666666666665</v>
      </c>
    </row>
    <row r="316" spans="1:9" ht="14.25" customHeight="1" x14ac:dyDescent="0.3">
      <c r="A316" s="5">
        <v>43964</v>
      </c>
      <c r="B316">
        <f t="shared" si="8"/>
        <v>20</v>
      </c>
      <c r="C316" s="6" t="s">
        <v>21</v>
      </c>
      <c r="D316" s="6">
        <v>193722</v>
      </c>
      <c r="E316" s="6">
        <v>19437273</v>
      </c>
      <c r="F316" s="7" cm="1">
        <f t="array" ref="F316">_xlfn.XLOOKUP(A316&amp;C316, Лист2!$A$2:$A$505&amp;Лист2!$B$2:$B$505, Лист2!$C$2:$C$505)</f>
        <v>60</v>
      </c>
      <c r="G316" s="15" cm="1">
        <f t="array" ref="G316">_xlfn.XLOOKUP(A316&amp;C316, Лист2!$A$2:$A$505&amp;Лист2!$B$2:$B$505, Лист2!$D$2:$D$505)</f>
        <v>12007</v>
      </c>
      <c r="H316" s="18" cm="1">
        <f t="array" ref="H316">_xlfn.XLOOKUP(A316&amp;C316, Лист2!$A$2:$A$505&amp;Лист2!$B$2:$B$505, Лист2!$E$2:$E$505)</f>
        <v>11245</v>
      </c>
      <c r="I316" s="16">
        <f t="shared" si="9"/>
        <v>3228.7</v>
      </c>
    </row>
    <row r="317" spans="1:9" ht="14.25" customHeight="1" x14ac:dyDescent="0.3">
      <c r="A317" s="8">
        <v>43954</v>
      </c>
      <c r="B317">
        <f t="shared" si="8"/>
        <v>18</v>
      </c>
      <c r="C317" s="9" t="s">
        <v>21</v>
      </c>
      <c r="D317" s="9">
        <v>257215.5</v>
      </c>
      <c r="E317" s="9">
        <v>26492278.5</v>
      </c>
      <c r="F317" s="7" cm="1">
        <f t="array" ref="F317">_xlfn.XLOOKUP(A317&amp;C317, Лист2!$A$2:$A$505&amp;Лист2!$B$2:$B$505, Лист2!$C$2:$C$505)</f>
        <v>59</v>
      </c>
      <c r="G317" s="15" cm="1">
        <f t="array" ref="G317">_xlfn.XLOOKUP(A317&amp;C317, Лист2!$A$2:$A$505&amp;Лист2!$B$2:$B$505, Лист2!$D$2:$D$505)</f>
        <v>15277</v>
      </c>
      <c r="H317" s="18" cm="1">
        <f t="array" ref="H317">_xlfn.XLOOKUP(A317&amp;C317, Лист2!$A$2:$A$505&amp;Лист2!$B$2:$B$505, Лист2!$E$2:$E$505)</f>
        <v>14163</v>
      </c>
      <c r="I317" s="16">
        <f t="shared" si="9"/>
        <v>4359.5847457627115</v>
      </c>
    </row>
    <row r="318" spans="1:9" ht="14.25" customHeight="1" x14ac:dyDescent="0.3">
      <c r="A318" s="5">
        <v>43957</v>
      </c>
      <c r="B318">
        <f t="shared" si="8"/>
        <v>19</v>
      </c>
      <c r="C318" s="6" t="s">
        <v>21</v>
      </c>
      <c r="D318" s="6">
        <v>224779.5</v>
      </c>
      <c r="E318" s="6">
        <v>23032992</v>
      </c>
      <c r="F318" s="7" cm="1">
        <f t="array" ref="F318">_xlfn.XLOOKUP(A318&amp;C318, Лист2!$A$2:$A$505&amp;Лист2!$B$2:$B$505, Лист2!$C$2:$C$505)</f>
        <v>59</v>
      </c>
      <c r="G318" s="15" cm="1">
        <f t="array" ref="G318">_xlfn.XLOOKUP(A318&amp;C318, Лист2!$A$2:$A$505&amp;Лист2!$B$2:$B$505, Лист2!$D$2:$D$505)</f>
        <v>14103</v>
      </c>
      <c r="H318" s="18" cm="1">
        <f t="array" ref="H318">_xlfn.XLOOKUP(A318&amp;C318, Лист2!$A$2:$A$505&amp;Лист2!$B$2:$B$505, Лист2!$E$2:$E$505)</f>
        <v>13118</v>
      </c>
      <c r="I318" s="16">
        <f t="shared" si="9"/>
        <v>3809.8220338983051</v>
      </c>
    </row>
    <row r="319" spans="1:9" ht="14.25" customHeight="1" x14ac:dyDescent="0.3">
      <c r="A319" s="8">
        <v>43974</v>
      </c>
      <c r="B319">
        <f t="shared" si="8"/>
        <v>21</v>
      </c>
      <c r="C319" s="9" t="s">
        <v>21</v>
      </c>
      <c r="D319" s="9">
        <v>292018.5</v>
      </c>
      <c r="E319" s="9">
        <v>28590910.5</v>
      </c>
      <c r="F319" s="7" cm="1">
        <f t="array" ref="F319">_xlfn.XLOOKUP(A319&amp;C319, Лист2!$A$2:$A$505&amp;Лист2!$B$2:$B$505, Лист2!$C$2:$C$505)</f>
        <v>60</v>
      </c>
      <c r="G319" s="15" cm="1">
        <f t="array" ref="G319">_xlfn.XLOOKUP(A319&amp;C319, Лист2!$A$2:$A$505&amp;Лист2!$B$2:$B$505, Лист2!$D$2:$D$505)</f>
        <v>17295</v>
      </c>
      <c r="H319" s="18" cm="1">
        <f t="array" ref="H319">_xlfn.XLOOKUP(A319&amp;C319, Лист2!$A$2:$A$505&amp;Лист2!$B$2:$B$505, Лист2!$E$2:$E$505)</f>
        <v>16010</v>
      </c>
      <c r="I319" s="16">
        <f t="shared" si="9"/>
        <v>4866.9750000000004</v>
      </c>
    </row>
    <row r="320" spans="1:9" ht="14.25" customHeight="1" x14ac:dyDescent="0.3">
      <c r="A320" s="5">
        <v>43976</v>
      </c>
      <c r="B320">
        <f t="shared" si="8"/>
        <v>22</v>
      </c>
      <c r="C320" s="6" t="s">
        <v>21</v>
      </c>
      <c r="D320" s="6">
        <v>198751.5</v>
      </c>
      <c r="E320" s="6">
        <v>20582743.5</v>
      </c>
      <c r="F320" s="7" cm="1">
        <f t="array" ref="F320">_xlfn.XLOOKUP(A320&amp;C320, Лист2!$A$2:$A$505&amp;Лист2!$B$2:$B$505, Лист2!$C$2:$C$505)</f>
        <v>59</v>
      </c>
      <c r="G320" s="15" cm="1">
        <f t="array" ref="G320">_xlfn.XLOOKUP(A320&amp;C320, Лист2!$A$2:$A$505&amp;Лист2!$B$2:$B$505, Лист2!$D$2:$D$505)</f>
        <v>12983</v>
      </c>
      <c r="H320" s="18" cm="1">
        <f t="array" ref="H320">_xlfn.XLOOKUP(A320&amp;C320, Лист2!$A$2:$A$505&amp;Лист2!$B$2:$B$505, Лист2!$E$2:$E$505)</f>
        <v>12056</v>
      </c>
      <c r="I320" s="16">
        <f t="shared" si="9"/>
        <v>3368.6694915254238</v>
      </c>
    </row>
    <row r="321" spans="1:9" ht="14.25" customHeight="1" x14ac:dyDescent="0.3">
      <c r="A321" s="8">
        <v>43951</v>
      </c>
      <c r="B321">
        <f t="shared" si="8"/>
        <v>18</v>
      </c>
      <c r="C321" s="9" t="s">
        <v>21</v>
      </c>
      <c r="D321" s="9">
        <v>214386</v>
      </c>
      <c r="E321" s="9">
        <v>22530000</v>
      </c>
      <c r="F321" s="7" cm="1">
        <f t="array" ref="F321">_xlfn.XLOOKUP(A321&amp;C321, Лист2!$A$2:$A$505&amp;Лист2!$B$2:$B$505, Лист2!$C$2:$C$505)</f>
        <v>59</v>
      </c>
      <c r="G321" s="15" cm="1">
        <f t="array" ref="G321">_xlfn.XLOOKUP(A321&amp;C321, Лист2!$A$2:$A$505&amp;Лист2!$B$2:$B$505, Лист2!$D$2:$D$505)</f>
        <v>13251</v>
      </c>
      <c r="H321" s="18" cm="1">
        <f t="array" ref="H321">_xlfn.XLOOKUP(A321&amp;C321, Лист2!$A$2:$A$505&amp;Лист2!$B$2:$B$505, Лист2!$E$2:$E$505)</f>
        <v>12255</v>
      </c>
      <c r="I321" s="16">
        <f t="shared" si="9"/>
        <v>3633.6610169491523</v>
      </c>
    </row>
    <row r="322" spans="1:9" ht="14.25" customHeight="1" x14ac:dyDescent="0.3">
      <c r="A322" s="5">
        <v>43961</v>
      </c>
      <c r="B322">
        <f t="shared" si="8"/>
        <v>19</v>
      </c>
      <c r="C322" s="6" t="s">
        <v>21</v>
      </c>
      <c r="D322" s="6">
        <v>243825</v>
      </c>
      <c r="E322" s="6">
        <v>24890404.5</v>
      </c>
      <c r="F322" s="7" cm="1">
        <f t="array" ref="F322">_xlfn.XLOOKUP(A322&amp;C322, Лист2!$A$2:$A$505&amp;Лист2!$B$2:$B$505, Лист2!$C$2:$C$505)</f>
        <v>59</v>
      </c>
      <c r="G322" s="15" cm="1">
        <f t="array" ref="G322">_xlfn.XLOOKUP(A322&amp;C322, Лист2!$A$2:$A$505&amp;Лист2!$B$2:$B$505, Лист2!$D$2:$D$505)</f>
        <v>14569</v>
      </c>
      <c r="H322" s="18" cm="1">
        <f t="array" ref="H322">_xlfn.XLOOKUP(A322&amp;C322, Лист2!$A$2:$A$505&amp;Лист2!$B$2:$B$505, Лист2!$E$2:$E$505)</f>
        <v>13566</v>
      </c>
      <c r="I322" s="16">
        <f t="shared" si="9"/>
        <v>4132.6271186440681</v>
      </c>
    </row>
    <row r="323" spans="1:9" ht="14.25" customHeight="1" x14ac:dyDescent="0.3">
      <c r="A323" s="8">
        <v>43959</v>
      </c>
      <c r="B323">
        <f t="shared" ref="B323:B386" si="10">WEEKNUM(A323, 2)</f>
        <v>19</v>
      </c>
      <c r="C323" s="9" t="s">
        <v>21</v>
      </c>
      <c r="D323" s="9">
        <v>232701</v>
      </c>
      <c r="E323" s="9">
        <v>23881948.5</v>
      </c>
      <c r="F323" s="7" cm="1">
        <f t="array" ref="F323">_xlfn.XLOOKUP(A323&amp;C323, Лист2!$A$2:$A$505&amp;Лист2!$B$2:$B$505, Лист2!$C$2:$C$505)</f>
        <v>59</v>
      </c>
      <c r="G323" s="15" cm="1">
        <f t="array" ref="G323">_xlfn.XLOOKUP(A323&amp;C323, Лист2!$A$2:$A$505&amp;Лист2!$B$2:$B$505, Лист2!$D$2:$D$505)</f>
        <v>14098</v>
      </c>
      <c r="H323" s="18" cm="1">
        <f t="array" ref="H323">_xlfn.XLOOKUP(A323&amp;C323, Лист2!$A$2:$A$505&amp;Лист2!$B$2:$B$505, Лист2!$E$2:$E$505)</f>
        <v>13106</v>
      </c>
      <c r="I323" s="16">
        <f t="shared" ref="I323:I386" si="11">D323/F323</f>
        <v>3944.0847457627119</v>
      </c>
    </row>
    <row r="324" spans="1:9" ht="14.25" customHeight="1" x14ac:dyDescent="0.3">
      <c r="A324" s="5">
        <v>43958</v>
      </c>
      <c r="B324">
        <f t="shared" si="10"/>
        <v>19</v>
      </c>
      <c r="C324" s="6" t="s">
        <v>21</v>
      </c>
      <c r="D324" s="6">
        <v>219411</v>
      </c>
      <c r="E324" s="6">
        <v>22460130</v>
      </c>
      <c r="F324" s="7" cm="1">
        <f t="array" ref="F324">_xlfn.XLOOKUP(A324&amp;C324, Лист2!$A$2:$A$505&amp;Лист2!$B$2:$B$505, Лист2!$C$2:$C$505)</f>
        <v>59</v>
      </c>
      <c r="G324" s="15" cm="1">
        <f t="array" ref="G324">_xlfn.XLOOKUP(A324&amp;C324, Лист2!$A$2:$A$505&amp;Лист2!$B$2:$B$505, Лист2!$D$2:$D$505)</f>
        <v>13495</v>
      </c>
      <c r="H324" s="18" cm="1">
        <f t="array" ref="H324">_xlfn.XLOOKUP(A324&amp;C324, Лист2!$A$2:$A$505&amp;Лист2!$B$2:$B$505, Лист2!$E$2:$E$505)</f>
        <v>12517</v>
      </c>
      <c r="I324" s="16">
        <f t="shared" si="11"/>
        <v>3718.8305084745762</v>
      </c>
    </row>
    <row r="325" spans="1:9" ht="14.25" customHeight="1" x14ac:dyDescent="0.3">
      <c r="A325" s="8">
        <v>43975</v>
      </c>
      <c r="B325">
        <f t="shared" si="10"/>
        <v>21</v>
      </c>
      <c r="C325" s="9" t="s">
        <v>21</v>
      </c>
      <c r="D325" s="9">
        <v>200029.5</v>
      </c>
      <c r="E325" s="9">
        <v>19959801</v>
      </c>
      <c r="F325" s="7" cm="1">
        <f t="array" ref="F325">_xlfn.XLOOKUP(A325&amp;C325, Лист2!$A$2:$A$505&amp;Лист2!$B$2:$B$505, Лист2!$C$2:$C$505)</f>
        <v>60</v>
      </c>
      <c r="G325" s="15" cm="1">
        <f t="array" ref="G325">_xlfn.XLOOKUP(A325&amp;C325, Лист2!$A$2:$A$505&amp;Лист2!$B$2:$B$505, Лист2!$D$2:$D$505)</f>
        <v>12822</v>
      </c>
      <c r="H325" s="18" cm="1">
        <f t="array" ref="H325">_xlfn.XLOOKUP(A325&amp;C325, Лист2!$A$2:$A$505&amp;Лист2!$B$2:$B$505, Лист2!$E$2:$E$505)</f>
        <v>11916</v>
      </c>
      <c r="I325" s="16">
        <f t="shared" si="11"/>
        <v>3333.8249999999998</v>
      </c>
    </row>
    <row r="326" spans="1:9" ht="14.25" customHeight="1" x14ac:dyDescent="0.3">
      <c r="A326" s="5">
        <v>43967</v>
      </c>
      <c r="B326">
        <f t="shared" si="10"/>
        <v>20</v>
      </c>
      <c r="C326" s="6" t="s">
        <v>22</v>
      </c>
      <c r="D326" s="6">
        <v>225480</v>
      </c>
      <c r="E326" s="6">
        <v>22355338.5</v>
      </c>
      <c r="F326" s="7" cm="1">
        <f t="array" ref="F326">_xlfn.XLOOKUP(A326&amp;C326, Лист2!$A$2:$A$505&amp;Лист2!$B$2:$B$505, Лист2!$C$2:$C$505)</f>
        <v>54</v>
      </c>
      <c r="G326" s="15" cm="1">
        <f t="array" ref="G326">_xlfn.XLOOKUP(A326&amp;C326, Лист2!$A$2:$A$505&amp;Лист2!$B$2:$B$505, Лист2!$D$2:$D$505)</f>
        <v>13170</v>
      </c>
      <c r="H326" s="18" cm="1">
        <f t="array" ref="H326">_xlfn.XLOOKUP(A326&amp;C326, Лист2!$A$2:$A$505&amp;Лист2!$B$2:$B$505, Лист2!$E$2:$E$505)</f>
        <v>12299</v>
      </c>
      <c r="I326" s="16">
        <f t="shared" si="11"/>
        <v>4175.5555555555557</v>
      </c>
    </row>
    <row r="327" spans="1:9" ht="14.25" customHeight="1" x14ac:dyDescent="0.3">
      <c r="A327" s="8">
        <v>43970</v>
      </c>
      <c r="B327">
        <f t="shared" si="10"/>
        <v>21</v>
      </c>
      <c r="C327" s="9" t="s">
        <v>22</v>
      </c>
      <c r="D327" s="9">
        <v>211453.5</v>
      </c>
      <c r="E327" s="9">
        <v>20590072.5</v>
      </c>
      <c r="F327" s="7" cm="1">
        <f t="array" ref="F327">_xlfn.XLOOKUP(A327&amp;C327, Лист2!$A$2:$A$505&amp;Лист2!$B$2:$B$505, Лист2!$C$2:$C$505)</f>
        <v>54</v>
      </c>
      <c r="G327" s="15" cm="1">
        <f t="array" ref="G327">_xlfn.XLOOKUP(A327&amp;C327, Лист2!$A$2:$A$505&amp;Лист2!$B$2:$B$505, Лист2!$D$2:$D$505)</f>
        <v>13070</v>
      </c>
      <c r="H327" s="18" cm="1">
        <f t="array" ref="H327">_xlfn.XLOOKUP(A327&amp;C327, Лист2!$A$2:$A$505&amp;Лист2!$B$2:$B$505, Лист2!$E$2:$E$505)</f>
        <v>12244</v>
      </c>
      <c r="I327" s="16">
        <f t="shared" si="11"/>
        <v>3915.8055555555557</v>
      </c>
    </row>
    <row r="328" spans="1:9" ht="14.25" customHeight="1" x14ac:dyDescent="0.3">
      <c r="A328" s="5">
        <v>43968</v>
      </c>
      <c r="B328">
        <f t="shared" si="10"/>
        <v>20</v>
      </c>
      <c r="C328" s="6" t="s">
        <v>22</v>
      </c>
      <c r="D328" s="6">
        <v>184801.5</v>
      </c>
      <c r="E328" s="6">
        <v>18449091</v>
      </c>
      <c r="F328" s="7" cm="1">
        <f t="array" ref="F328">_xlfn.XLOOKUP(A328&amp;C328, Лист2!$A$2:$A$505&amp;Лист2!$B$2:$B$505, Лист2!$C$2:$C$505)</f>
        <v>54</v>
      </c>
      <c r="G328" s="15" cm="1">
        <f t="array" ref="G328">_xlfn.XLOOKUP(A328&amp;C328, Лист2!$A$2:$A$505&amp;Лист2!$B$2:$B$505, Лист2!$D$2:$D$505)</f>
        <v>11128</v>
      </c>
      <c r="H328" s="18" cm="1">
        <f t="array" ref="H328">_xlfn.XLOOKUP(A328&amp;C328, Лист2!$A$2:$A$505&amp;Лист2!$B$2:$B$505, Лист2!$E$2:$E$505)</f>
        <v>10467</v>
      </c>
      <c r="I328" s="16">
        <f t="shared" si="11"/>
        <v>3422.25</v>
      </c>
    </row>
    <row r="329" spans="1:9" ht="14.25" customHeight="1" x14ac:dyDescent="0.3">
      <c r="A329" s="8">
        <v>43960</v>
      </c>
      <c r="B329">
        <f t="shared" si="10"/>
        <v>19</v>
      </c>
      <c r="C329" s="9" t="s">
        <v>22</v>
      </c>
      <c r="D329" s="9">
        <v>177976.5</v>
      </c>
      <c r="E329" s="9">
        <v>18085798.5</v>
      </c>
      <c r="F329" s="7" cm="1">
        <f t="array" ref="F329">_xlfn.XLOOKUP(A329&amp;C329, Лист2!$A$2:$A$505&amp;Лист2!$B$2:$B$505, Лист2!$C$2:$C$505)</f>
        <v>54</v>
      </c>
      <c r="G329" s="15" cm="1">
        <f t="array" ref="G329">_xlfn.XLOOKUP(A329&amp;C329, Лист2!$A$2:$A$505&amp;Лист2!$B$2:$B$505, Лист2!$D$2:$D$505)</f>
        <v>11288</v>
      </c>
      <c r="H329" s="18" cm="1">
        <f t="array" ref="H329">_xlfn.XLOOKUP(A329&amp;C329, Лист2!$A$2:$A$505&amp;Лист2!$B$2:$B$505, Лист2!$E$2:$E$505)</f>
        <v>10492</v>
      </c>
      <c r="I329" s="16">
        <f t="shared" si="11"/>
        <v>3295.8611111111113</v>
      </c>
    </row>
    <row r="330" spans="1:9" ht="14.25" customHeight="1" x14ac:dyDescent="0.3">
      <c r="A330" s="5">
        <v>43955</v>
      </c>
      <c r="B330">
        <f t="shared" si="10"/>
        <v>19</v>
      </c>
      <c r="C330" s="6" t="s">
        <v>22</v>
      </c>
      <c r="D330" s="6">
        <v>223617</v>
      </c>
      <c r="E330" s="6">
        <v>22796827.5</v>
      </c>
      <c r="F330" s="7" cm="1">
        <f t="array" ref="F330">_xlfn.XLOOKUP(A330&amp;C330, Лист2!$A$2:$A$505&amp;Лист2!$B$2:$B$505, Лист2!$C$2:$C$505)</f>
        <v>54</v>
      </c>
      <c r="G330" s="15" cm="1">
        <f t="array" ref="G330">_xlfn.XLOOKUP(A330&amp;C330, Лист2!$A$2:$A$505&amp;Лист2!$B$2:$B$505, Лист2!$D$2:$D$505)</f>
        <v>13606</v>
      </c>
      <c r="H330" s="18" cm="1">
        <f t="array" ref="H330">_xlfn.XLOOKUP(A330&amp;C330, Лист2!$A$2:$A$505&amp;Лист2!$B$2:$B$505, Лист2!$E$2:$E$505)</f>
        <v>12697</v>
      </c>
      <c r="I330" s="16">
        <f t="shared" si="11"/>
        <v>4141.0555555555557</v>
      </c>
    </row>
    <row r="331" spans="1:9" ht="14.25" customHeight="1" x14ac:dyDescent="0.3">
      <c r="A331" s="8">
        <v>43953</v>
      </c>
      <c r="B331">
        <f t="shared" si="10"/>
        <v>18</v>
      </c>
      <c r="C331" s="9" t="s">
        <v>22</v>
      </c>
      <c r="D331" s="9">
        <v>176397</v>
      </c>
      <c r="E331" s="9">
        <v>18625921.5</v>
      </c>
      <c r="F331" s="7" cm="1">
        <f t="array" ref="F331">_xlfn.XLOOKUP(A331&amp;C331, Лист2!$A$2:$A$505&amp;Лист2!$B$2:$B$505, Лист2!$C$2:$C$505)</f>
        <v>54</v>
      </c>
      <c r="G331" s="15" cm="1">
        <f t="array" ref="G331">_xlfn.XLOOKUP(A331&amp;C331, Лист2!$A$2:$A$505&amp;Лист2!$B$2:$B$505, Лист2!$D$2:$D$505)</f>
        <v>11622</v>
      </c>
      <c r="H331" s="18" cm="1">
        <f t="array" ref="H331">_xlfn.XLOOKUP(A331&amp;C331, Лист2!$A$2:$A$505&amp;Лист2!$B$2:$B$505, Лист2!$E$2:$E$505)</f>
        <v>10754</v>
      </c>
      <c r="I331" s="16">
        <f t="shared" si="11"/>
        <v>3266.6111111111113</v>
      </c>
    </row>
    <row r="332" spans="1:9" ht="14.25" customHeight="1" x14ac:dyDescent="0.3">
      <c r="A332" s="5">
        <v>43977</v>
      </c>
      <c r="B332">
        <f t="shared" si="10"/>
        <v>22</v>
      </c>
      <c r="C332" s="6" t="s">
        <v>22</v>
      </c>
      <c r="D332" s="6">
        <v>232369.5</v>
      </c>
      <c r="E332" s="6">
        <v>23856345</v>
      </c>
      <c r="F332" s="7" cm="1">
        <f t="array" ref="F332">_xlfn.XLOOKUP(A332&amp;C332, Лист2!$A$2:$A$505&amp;Лист2!$B$2:$B$505, Лист2!$C$2:$C$505)</f>
        <v>54</v>
      </c>
      <c r="G332" s="15" cm="1">
        <f t="array" ref="G332">_xlfn.XLOOKUP(A332&amp;C332, Лист2!$A$2:$A$505&amp;Лист2!$B$2:$B$505, Лист2!$D$2:$D$505)</f>
        <v>14482</v>
      </c>
      <c r="H332" s="18" cm="1">
        <f t="array" ref="H332">_xlfn.XLOOKUP(A332&amp;C332, Лист2!$A$2:$A$505&amp;Лист2!$B$2:$B$505, Лист2!$E$2:$E$505)</f>
        <v>13510</v>
      </c>
      <c r="I332" s="16">
        <f t="shared" si="11"/>
        <v>4303.1388888888887</v>
      </c>
    </row>
    <row r="333" spans="1:9" ht="14.25" customHeight="1" x14ac:dyDescent="0.3">
      <c r="A333" s="8">
        <v>43952</v>
      </c>
      <c r="B333">
        <f t="shared" si="10"/>
        <v>18</v>
      </c>
      <c r="C333" s="9" t="s">
        <v>22</v>
      </c>
      <c r="D333" s="9">
        <v>226540.5</v>
      </c>
      <c r="E333" s="9">
        <v>23953536</v>
      </c>
      <c r="F333" s="7" cm="1">
        <f t="array" ref="F333">_xlfn.XLOOKUP(A333&amp;C333, Лист2!$A$2:$A$505&amp;Лист2!$B$2:$B$505, Лист2!$C$2:$C$505)</f>
        <v>54</v>
      </c>
      <c r="G333" s="15" cm="1">
        <f t="array" ref="G333">_xlfn.XLOOKUP(A333&amp;C333, Лист2!$A$2:$A$505&amp;Лист2!$B$2:$B$505, Лист2!$D$2:$D$505)</f>
        <v>14205</v>
      </c>
      <c r="H333" s="18" cm="1">
        <f t="array" ref="H333">_xlfn.XLOOKUP(A333&amp;C333, Лист2!$A$2:$A$505&amp;Лист2!$B$2:$B$505, Лист2!$E$2:$E$505)</f>
        <v>13026</v>
      </c>
      <c r="I333" s="16">
        <f t="shared" si="11"/>
        <v>4195.1944444444443</v>
      </c>
    </row>
    <row r="334" spans="1:9" ht="14.25" customHeight="1" x14ac:dyDescent="0.3">
      <c r="A334" s="5">
        <v>43963</v>
      </c>
      <c r="B334">
        <f t="shared" si="10"/>
        <v>20</v>
      </c>
      <c r="C334" s="6" t="s">
        <v>22</v>
      </c>
      <c r="D334" s="6">
        <v>189679.5</v>
      </c>
      <c r="E334" s="6">
        <v>18718036.5</v>
      </c>
      <c r="F334" s="7" cm="1">
        <f t="array" ref="F334">_xlfn.XLOOKUP(A334&amp;C334, Лист2!$A$2:$A$505&amp;Лист2!$B$2:$B$505, Лист2!$C$2:$C$505)</f>
        <v>54</v>
      </c>
      <c r="G334" s="15" cm="1">
        <f t="array" ref="G334">_xlfn.XLOOKUP(A334&amp;C334, Лист2!$A$2:$A$505&amp;Лист2!$B$2:$B$505, Лист2!$D$2:$D$505)</f>
        <v>11614</v>
      </c>
      <c r="H334" s="18" cm="1">
        <f t="array" ref="H334">_xlfn.XLOOKUP(A334&amp;C334, Лист2!$A$2:$A$505&amp;Лист2!$B$2:$B$505, Лист2!$E$2:$E$505)</f>
        <v>10862</v>
      </c>
      <c r="I334" s="16">
        <f t="shared" si="11"/>
        <v>3512.5833333333335</v>
      </c>
    </row>
    <row r="335" spans="1:9" ht="14.25" customHeight="1" x14ac:dyDescent="0.3">
      <c r="A335" s="8">
        <v>43972</v>
      </c>
      <c r="B335">
        <f t="shared" si="10"/>
        <v>21</v>
      </c>
      <c r="C335" s="9" t="s">
        <v>22</v>
      </c>
      <c r="D335" s="9">
        <v>213640.5</v>
      </c>
      <c r="E335" s="9">
        <v>21042673.5</v>
      </c>
      <c r="F335" s="7" cm="1">
        <f t="array" ref="F335">_xlfn.XLOOKUP(A335&amp;C335, Лист2!$A$2:$A$505&amp;Лист2!$B$2:$B$505, Лист2!$C$2:$C$505)</f>
        <v>54</v>
      </c>
      <c r="G335" s="15" cm="1">
        <f t="array" ref="G335">_xlfn.XLOOKUP(A335&amp;C335, Лист2!$A$2:$A$505&amp;Лист2!$B$2:$B$505, Лист2!$D$2:$D$505)</f>
        <v>13240</v>
      </c>
      <c r="H335" s="18" cm="1">
        <f t="array" ref="H335">_xlfn.XLOOKUP(A335&amp;C335, Лист2!$A$2:$A$505&amp;Лист2!$B$2:$B$505, Лист2!$E$2:$E$505)</f>
        <v>12360</v>
      </c>
      <c r="I335" s="16">
        <f t="shared" si="11"/>
        <v>3956.3055555555557</v>
      </c>
    </row>
    <row r="336" spans="1:9" ht="14.25" customHeight="1" x14ac:dyDescent="0.3">
      <c r="A336" s="5">
        <v>43971</v>
      </c>
      <c r="B336">
        <f t="shared" si="10"/>
        <v>21</v>
      </c>
      <c r="C336" s="6" t="s">
        <v>22</v>
      </c>
      <c r="D336" s="6">
        <v>214885.5</v>
      </c>
      <c r="E336" s="6">
        <v>21411349.5</v>
      </c>
      <c r="F336" s="7" cm="1">
        <f t="array" ref="F336">_xlfn.XLOOKUP(A336&amp;C336, Лист2!$A$2:$A$505&amp;Лист2!$B$2:$B$505, Лист2!$C$2:$C$505)</f>
        <v>54</v>
      </c>
      <c r="G336" s="15" cm="1">
        <f t="array" ref="G336">_xlfn.XLOOKUP(A336&amp;C336, Лист2!$A$2:$A$505&amp;Лист2!$B$2:$B$505, Лист2!$D$2:$D$505)</f>
        <v>13298</v>
      </c>
      <c r="H336" s="18" cm="1">
        <f t="array" ref="H336">_xlfn.XLOOKUP(A336&amp;C336, Лист2!$A$2:$A$505&amp;Лист2!$B$2:$B$505, Лист2!$E$2:$E$505)</f>
        <v>12428</v>
      </c>
      <c r="I336" s="16">
        <f t="shared" si="11"/>
        <v>3979.3611111111113</v>
      </c>
    </row>
    <row r="337" spans="1:9" ht="14.25" customHeight="1" x14ac:dyDescent="0.3">
      <c r="A337" s="8">
        <v>43956</v>
      </c>
      <c r="B337">
        <f t="shared" si="10"/>
        <v>19</v>
      </c>
      <c r="C337" s="9" t="s">
        <v>22</v>
      </c>
      <c r="D337" s="9">
        <v>203832</v>
      </c>
      <c r="E337" s="9">
        <v>20880142.5</v>
      </c>
      <c r="F337" s="7" cm="1">
        <f t="array" ref="F337">_xlfn.XLOOKUP(A337&amp;C337, Лист2!$A$2:$A$505&amp;Лист2!$B$2:$B$505, Лист2!$C$2:$C$505)</f>
        <v>54</v>
      </c>
      <c r="G337" s="15" cm="1">
        <f t="array" ref="G337">_xlfn.XLOOKUP(A337&amp;C337, Лист2!$A$2:$A$505&amp;Лист2!$B$2:$B$505, Лист2!$D$2:$D$505)</f>
        <v>12775</v>
      </c>
      <c r="H337" s="18" cm="1">
        <f t="array" ref="H337">_xlfn.XLOOKUP(A337&amp;C337, Лист2!$A$2:$A$505&amp;Лист2!$B$2:$B$505, Лист2!$E$2:$E$505)</f>
        <v>11887</v>
      </c>
      <c r="I337" s="16">
        <f t="shared" si="11"/>
        <v>3774.6666666666665</v>
      </c>
    </row>
    <row r="338" spans="1:9" ht="14.25" customHeight="1" x14ac:dyDescent="0.3">
      <c r="A338" s="5">
        <v>43964</v>
      </c>
      <c r="B338">
        <f t="shared" si="10"/>
        <v>20</v>
      </c>
      <c r="C338" s="6" t="s">
        <v>22</v>
      </c>
      <c r="D338" s="6">
        <v>188662.5</v>
      </c>
      <c r="E338" s="6">
        <v>18784000.5</v>
      </c>
      <c r="F338" s="7" cm="1">
        <f t="array" ref="F338">_xlfn.XLOOKUP(A338&amp;C338, Лист2!$A$2:$A$505&amp;Лист2!$B$2:$B$505, Лист2!$C$2:$C$505)</f>
        <v>54</v>
      </c>
      <c r="G338" s="15" cm="1">
        <f t="array" ref="G338">_xlfn.XLOOKUP(A338&amp;C338, Лист2!$A$2:$A$505&amp;Лист2!$B$2:$B$505, Лист2!$D$2:$D$505)</f>
        <v>11522</v>
      </c>
      <c r="H338" s="18" cm="1">
        <f t="array" ref="H338">_xlfn.XLOOKUP(A338&amp;C338, Лист2!$A$2:$A$505&amp;Лист2!$B$2:$B$505, Лист2!$E$2:$E$505)</f>
        <v>10803</v>
      </c>
      <c r="I338" s="16">
        <f t="shared" si="11"/>
        <v>3493.75</v>
      </c>
    </row>
    <row r="339" spans="1:9" ht="14.25" customHeight="1" x14ac:dyDescent="0.3">
      <c r="A339" s="8">
        <v>43982</v>
      </c>
      <c r="B339">
        <f t="shared" si="10"/>
        <v>22</v>
      </c>
      <c r="C339" s="9" t="s">
        <v>21</v>
      </c>
      <c r="D339" s="9">
        <v>215277</v>
      </c>
      <c r="E339" s="9">
        <v>21585316.5</v>
      </c>
      <c r="F339" s="7" cm="1">
        <f t="array" ref="F339">_xlfn.XLOOKUP(A339&amp;C339, Лист2!$A$2:$A$505&amp;Лист2!$B$2:$B$505, Лист2!$C$2:$C$505)</f>
        <v>59</v>
      </c>
      <c r="G339" s="15" cm="1">
        <f t="array" ref="G339">_xlfn.XLOOKUP(A339&amp;C339, Лист2!$A$2:$A$505&amp;Лист2!$B$2:$B$505, Лист2!$D$2:$D$505)</f>
        <v>13684</v>
      </c>
      <c r="H339" s="18" cm="1">
        <f t="array" ref="H339">_xlfn.XLOOKUP(A339&amp;C339, Лист2!$A$2:$A$505&amp;Лист2!$B$2:$B$505, Лист2!$E$2:$E$505)</f>
        <v>12690</v>
      </c>
      <c r="I339" s="16">
        <f t="shared" si="11"/>
        <v>3648.7627118644068</v>
      </c>
    </row>
    <row r="340" spans="1:9" ht="14.25" customHeight="1" x14ac:dyDescent="0.3">
      <c r="A340" s="5">
        <v>43954</v>
      </c>
      <c r="B340">
        <f t="shared" si="10"/>
        <v>18</v>
      </c>
      <c r="C340" s="6" t="s">
        <v>22</v>
      </c>
      <c r="D340" s="6">
        <v>248148</v>
      </c>
      <c r="E340" s="6">
        <v>25519072.5</v>
      </c>
      <c r="F340" s="7" cm="1">
        <f t="array" ref="F340">_xlfn.XLOOKUP(A340&amp;C340, Лист2!$A$2:$A$505&amp;Лист2!$B$2:$B$505, Лист2!$C$2:$C$505)</f>
        <v>54</v>
      </c>
      <c r="G340" s="15" cm="1">
        <f t="array" ref="G340">_xlfn.XLOOKUP(A340&amp;C340, Лист2!$A$2:$A$505&amp;Лист2!$B$2:$B$505, Лист2!$D$2:$D$505)</f>
        <v>14823</v>
      </c>
      <c r="H340" s="18" cm="1">
        <f t="array" ref="H340">_xlfn.XLOOKUP(A340&amp;C340, Лист2!$A$2:$A$505&amp;Лист2!$B$2:$B$505, Лист2!$E$2:$E$505)</f>
        <v>13751</v>
      </c>
      <c r="I340" s="16">
        <f t="shared" si="11"/>
        <v>4595.333333333333</v>
      </c>
    </row>
    <row r="341" spans="1:9" ht="14.25" customHeight="1" x14ac:dyDescent="0.3">
      <c r="A341" s="8">
        <v>43981</v>
      </c>
      <c r="B341">
        <f t="shared" si="10"/>
        <v>22</v>
      </c>
      <c r="C341" s="9" t="s">
        <v>21</v>
      </c>
      <c r="D341" s="9">
        <v>246414</v>
      </c>
      <c r="E341" s="9">
        <v>24527245.5</v>
      </c>
      <c r="F341" s="7" cm="1">
        <f t="array" ref="F341">_xlfn.XLOOKUP(A341&amp;C341, Лист2!$A$2:$A$505&amp;Лист2!$B$2:$B$505, Лист2!$C$2:$C$505)</f>
        <v>59</v>
      </c>
      <c r="G341" s="15" cm="1">
        <f t="array" ref="G341">_xlfn.XLOOKUP(A341&amp;C341, Лист2!$A$2:$A$505&amp;Лист2!$B$2:$B$505, Лист2!$D$2:$D$505)</f>
        <v>15030</v>
      </c>
      <c r="H341" s="18" cm="1">
        <f t="array" ref="H341">_xlfn.XLOOKUP(A341&amp;C341, Лист2!$A$2:$A$505&amp;Лист2!$B$2:$B$505, Лист2!$E$2:$E$505)</f>
        <v>13956</v>
      </c>
      <c r="I341" s="16">
        <f t="shared" si="11"/>
        <v>4176.5084745762715</v>
      </c>
    </row>
    <row r="342" spans="1:9" ht="14.25" customHeight="1" x14ac:dyDescent="0.3">
      <c r="A342" s="5">
        <v>43957</v>
      </c>
      <c r="B342">
        <f t="shared" si="10"/>
        <v>19</v>
      </c>
      <c r="C342" s="6" t="s">
        <v>22</v>
      </c>
      <c r="D342" s="6">
        <v>216498</v>
      </c>
      <c r="E342" s="6">
        <v>22126444.5</v>
      </c>
      <c r="F342" s="7" cm="1">
        <f t="array" ref="F342">_xlfn.XLOOKUP(A342&amp;C342, Лист2!$A$2:$A$505&amp;Лист2!$B$2:$B$505, Лист2!$C$2:$C$505)</f>
        <v>54</v>
      </c>
      <c r="G342" s="15" cm="1">
        <f t="array" ref="G342">_xlfn.XLOOKUP(A342&amp;C342, Лист2!$A$2:$A$505&amp;Лист2!$B$2:$B$505, Лист2!$D$2:$D$505)</f>
        <v>13406</v>
      </c>
      <c r="H342" s="18" cm="1">
        <f t="array" ref="H342">_xlfn.XLOOKUP(A342&amp;C342, Лист2!$A$2:$A$505&amp;Лист2!$B$2:$B$505, Лист2!$E$2:$E$505)</f>
        <v>12518</v>
      </c>
      <c r="I342" s="16">
        <f t="shared" si="11"/>
        <v>4009.2222222222222</v>
      </c>
    </row>
    <row r="343" spans="1:9" ht="14.25" customHeight="1" x14ac:dyDescent="0.3">
      <c r="A343" s="8">
        <v>43974</v>
      </c>
      <c r="B343">
        <f t="shared" si="10"/>
        <v>21</v>
      </c>
      <c r="C343" s="9" t="s">
        <v>22</v>
      </c>
      <c r="D343" s="9">
        <v>275793</v>
      </c>
      <c r="E343" s="9">
        <v>26806626</v>
      </c>
      <c r="F343" s="7" cm="1">
        <f t="array" ref="F343">_xlfn.XLOOKUP(A343&amp;C343, Лист2!$A$2:$A$505&amp;Лист2!$B$2:$B$505, Лист2!$C$2:$C$505)</f>
        <v>54</v>
      </c>
      <c r="G343" s="15" cm="1">
        <f t="array" ref="G343">_xlfn.XLOOKUP(A343&amp;C343, Лист2!$A$2:$A$505&amp;Лист2!$B$2:$B$505, Лист2!$D$2:$D$505)</f>
        <v>16221</v>
      </c>
      <c r="H343" s="18" cm="1">
        <f t="array" ref="H343">_xlfn.XLOOKUP(A343&amp;C343, Лист2!$A$2:$A$505&amp;Лист2!$B$2:$B$505, Лист2!$E$2:$E$505)</f>
        <v>15065</v>
      </c>
      <c r="I343" s="16">
        <f t="shared" si="11"/>
        <v>5107.2777777777774</v>
      </c>
    </row>
    <row r="344" spans="1:9" ht="14.25" customHeight="1" x14ac:dyDescent="0.3">
      <c r="A344" s="5">
        <v>43979</v>
      </c>
      <c r="B344">
        <f t="shared" si="10"/>
        <v>22</v>
      </c>
      <c r="C344" s="6" t="s">
        <v>21</v>
      </c>
      <c r="D344" s="6">
        <v>199753.5</v>
      </c>
      <c r="E344" s="6">
        <v>20535733.5</v>
      </c>
      <c r="F344" s="7" cm="1">
        <f t="array" ref="F344">_xlfn.XLOOKUP(A344&amp;C344, Лист2!$A$2:$A$505&amp;Лист2!$B$2:$B$505, Лист2!$C$2:$C$505)</f>
        <v>60</v>
      </c>
      <c r="G344" s="15" cm="1">
        <f t="array" ref="G344">_xlfn.XLOOKUP(A344&amp;C344, Лист2!$A$2:$A$505&amp;Лист2!$B$2:$B$505, Лист2!$D$2:$D$505)</f>
        <v>12854</v>
      </c>
      <c r="H344" s="18" cm="1">
        <f t="array" ref="H344">_xlfn.XLOOKUP(A344&amp;C344, Лист2!$A$2:$A$505&amp;Лист2!$B$2:$B$505, Лист2!$E$2:$E$505)</f>
        <v>11954</v>
      </c>
      <c r="I344" s="16">
        <f t="shared" si="11"/>
        <v>3329.2249999999999</v>
      </c>
    </row>
    <row r="345" spans="1:9" ht="14.25" customHeight="1" x14ac:dyDescent="0.3">
      <c r="A345" s="8">
        <v>43976</v>
      </c>
      <c r="B345">
        <f t="shared" si="10"/>
        <v>22</v>
      </c>
      <c r="C345" s="9" t="s">
        <v>22</v>
      </c>
      <c r="D345" s="9">
        <v>192948</v>
      </c>
      <c r="E345" s="9">
        <v>19806927</v>
      </c>
      <c r="F345" s="7" cm="1">
        <f t="array" ref="F345">_xlfn.XLOOKUP(A345&amp;C345, Лист2!$A$2:$A$505&amp;Лист2!$B$2:$B$505, Лист2!$C$2:$C$505)</f>
        <v>54</v>
      </c>
      <c r="G345" s="15" cm="1">
        <f t="array" ref="G345">_xlfn.XLOOKUP(A345&amp;C345, Лист2!$A$2:$A$505&amp;Лист2!$B$2:$B$505, Лист2!$D$2:$D$505)</f>
        <v>12336</v>
      </c>
      <c r="H345" s="18" cm="1">
        <f t="array" ref="H345">_xlfn.XLOOKUP(A345&amp;C345, Лист2!$A$2:$A$505&amp;Лист2!$B$2:$B$505, Лист2!$E$2:$E$505)</f>
        <v>11519</v>
      </c>
      <c r="I345" s="16">
        <f t="shared" si="11"/>
        <v>3573.1111111111113</v>
      </c>
    </row>
    <row r="346" spans="1:9" ht="14.25" customHeight="1" x14ac:dyDescent="0.3">
      <c r="A346" s="5">
        <v>43951</v>
      </c>
      <c r="B346">
        <f t="shared" si="10"/>
        <v>18</v>
      </c>
      <c r="C346" s="6" t="s">
        <v>22</v>
      </c>
      <c r="D346" s="6">
        <v>206038.5</v>
      </c>
      <c r="E346" s="6">
        <v>21740460</v>
      </c>
      <c r="F346" s="7" cm="1">
        <f t="array" ref="F346">_xlfn.XLOOKUP(A346&amp;C346, Лист2!$A$2:$A$505&amp;Лист2!$B$2:$B$505, Лист2!$C$2:$C$505)</f>
        <v>54</v>
      </c>
      <c r="G346" s="15" cm="1">
        <f t="array" ref="G346">_xlfn.XLOOKUP(A346&amp;C346, Лист2!$A$2:$A$505&amp;Лист2!$B$2:$B$505, Лист2!$D$2:$D$505)</f>
        <v>12817</v>
      </c>
      <c r="H346" s="18" cm="1">
        <f t="array" ref="H346">_xlfn.XLOOKUP(A346&amp;C346, Лист2!$A$2:$A$505&amp;Лист2!$B$2:$B$505, Лист2!$E$2:$E$505)</f>
        <v>11865</v>
      </c>
      <c r="I346" s="16">
        <f t="shared" si="11"/>
        <v>3815.5277777777778</v>
      </c>
    </row>
    <row r="347" spans="1:9" ht="14.25" customHeight="1" x14ac:dyDescent="0.3">
      <c r="A347" s="8">
        <v>43961</v>
      </c>
      <c r="B347">
        <f t="shared" si="10"/>
        <v>19</v>
      </c>
      <c r="C347" s="9" t="s">
        <v>22</v>
      </c>
      <c r="D347" s="9">
        <v>231559.5</v>
      </c>
      <c r="E347" s="9">
        <v>23443725</v>
      </c>
      <c r="F347" s="7" cm="1">
        <f t="array" ref="F347">_xlfn.XLOOKUP(A347&amp;C347, Лист2!$A$2:$A$505&amp;Лист2!$B$2:$B$505, Лист2!$C$2:$C$505)</f>
        <v>54</v>
      </c>
      <c r="G347" s="15" cm="1">
        <f t="array" ref="G347">_xlfn.XLOOKUP(A347&amp;C347, Лист2!$A$2:$A$505&amp;Лист2!$B$2:$B$505, Лист2!$D$2:$D$505)</f>
        <v>13832</v>
      </c>
      <c r="H347" s="18" cm="1">
        <f t="array" ref="H347">_xlfn.XLOOKUP(A347&amp;C347, Лист2!$A$2:$A$505&amp;Лист2!$B$2:$B$505, Лист2!$E$2:$E$505)</f>
        <v>12864</v>
      </c>
      <c r="I347" s="16">
        <f t="shared" si="11"/>
        <v>4288.1388888888887</v>
      </c>
    </row>
    <row r="348" spans="1:9" ht="14.25" customHeight="1" x14ac:dyDescent="0.3">
      <c r="A348" s="5">
        <v>43959</v>
      </c>
      <c r="B348">
        <f t="shared" si="10"/>
        <v>19</v>
      </c>
      <c r="C348" s="6" t="s">
        <v>22</v>
      </c>
      <c r="D348" s="6">
        <v>225076.5</v>
      </c>
      <c r="E348" s="6">
        <v>22846078.5</v>
      </c>
      <c r="F348" s="7" cm="1">
        <f t="array" ref="F348">_xlfn.XLOOKUP(A348&amp;C348, Лист2!$A$2:$A$505&amp;Лист2!$B$2:$B$505, Лист2!$C$2:$C$505)</f>
        <v>54</v>
      </c>
      <c r="G348" s="15" cm="1">
        <f t="array" ref="G348">_xlfn.XLOOKUP(A348&amp;C348, Лист2!$A$2:$A$505&amp;Лист2!$B$2:$B$505, Лист2!$D$2:$D$505)</f>
        <v>13563</v>
      </c>
      <c r="H348" s="18" cm="1">
        <f t="array" ref="H348">_xlfn.XLOOKUP(A348&amp;C348, Лист2!$A$2:$A$505&amp;Лист2!$B$2:$B$505, Лист2!$E$2:$E$505)</f>
        <v>12604</v>
      </c>
      <c r="I348" s="16">
        <f t="shared" si="11"/>
        <v>4168.083333333333</v>
      </c>
    </row>
    <row r="349" spans="1:9" ht="14.25" customHeight="1" x14ac:dyDescent="0.3">
      <c r="A349" s="8">
        <v>43958</v>
      </c>
      <c r="B349">
        <f t="shared" si="10"/>
        <v>19</v>
      </c>
      <c r="C349" s="9" t="s">
        <v>22</v>
      </c>
      <c r="D349" s="9">
        <v>209415</v>
      </c>
      <c r="E349" s="9">
        <v>21463023</v>
      </c>
      <c r="F349" s="7" cm="1">
        <f t="array" ref="F349">_xlfn.XLOOKUP(A349&amp;C349, Лист2!$A$2:$A$505&amp;Лист2!$B$2:$B$505, Лист2!$C$2:$C$505)</f>
        <v>54</v>
      </c>
      <c r="G349" s="15" cm="1">
        <f t="array" ref="G349">_xlfn.XLOOKUP(A349&amp;C349, Лист2!$A$2:$A$505&amp;Лист2!$B$2:$B$505, Лист2!$D$2:$D$505)</f>
        <v>12743</v>
      </c>
      <c r="H349" s="18" cm="1">
        <f t="array" ref="H349">_xlfn.XLOOKUP(A349&amp;C349, Лист2!$A$2:$A$505&amp;Лист2!$B$2:$B$505, Лист2!$E$2:$E$505)</f>
        <v>11858</v>
      </c>
      <c r="I349" s="16">
        <f t="shared" si="11"/>
        <v>3878.0555555555557</v>
      </c>
    </row>
    <row r="350" spans="1:9" ht="14.25" customHeight="1" x14ac:dyDescent="0.3">
      <c r="A350" s="5">
        <v>43975</v>
      </c>
      <c r="B350">
        <f t="shared" si="10"/>
        <v>21</v>
      </c>
      <c r="C350" s="6" t="s">
        <v>22</v>
      </c>
      <c r="D350" s="6">
        <v>193719</v>
      </c>
      <c r="E350" s="6">
        <v>19071117</v>
      </c>
      <c r="F350" s="7" cm="1">
        <f t="array" ref="F350">_xlfn.XLOOKUP(A350&amp;C350, Лист2!$A$2:$A$505&amp;Лист2!$B$2:$B$505, Лист2!$C$2:$C$505)</f>
        <v>54</v>
      </c>
      <c r="G350" s="15" cm="1">
        <f t="array" ref="G350">_xlfn.XLOOKUP(A350&amp;C350, Лист2!$A$2:$A$505&amp;Лист2!$B$2:$B$505, Лист2!$D$2:$D$505)</f>
        <v>12211</v>
      </c>
      <c r="H350" s="18" cm="1">
        <f t="array" ref="H350">_xlfn.XLOOKUP(A350&amp;C350, Лист2!$A$2:$A$505&amp;Лист2!$B$2:$B$505, Лист2!$E$2:$E$505)</f>
        <v>11427</v>
      </c>
      <c r="I350" s="16">
        <f t="shared" si="11"/>
        <v>3587.3888888888887</v>
      </c>
    </row>
    <row r="351" spans="1:9" ht="14.25" customHeight="1" x14ac:dyDescent="0.3">
      <c r="A351" s="8">
        <v>43950</v>
      </c>
      <c r="B351">
        <f t="shared" si="10"/>
        <v>18</v>
      </c>
      <c r="C351" s="9" t="s">
        <v>23</v>
      </c>
      <c r="D351" s="9">
        <v>12250.5</v>
      </c>
      <c r="E351" s="9">
        <v>981519</v>
      </c>
      <c r="F351" s="7" cm="1">
        <f t="array" ref="F351">_xlfn.XLOOKUP(A351&amp;C351, Лист2!$A$2:$A$505&amp;Лист2!$B$2:$B$505, Лист2!$C$2:$C$505)</f>
        <v>15</v>
      </c>
      <c r="G351" s="15" cm="1">
        <f t="array" ref="G351">_xlfn.XLOOKUP(A351&amp;C351, Лист2!$A$2:$A$505&amp;Лист2!$B$2:$B$505, Лист2!$D$2:$D$505)</f>
        <v>659</v>
      </c>
      <c r="H351" s="18" cm="1">
        <f t="array" ref="H351">_xlfn.XLOOKUP(A351&amp;C351, Лист2!$A$2:$A$505&amp;Лист2!$B$2:$B$505, Лист2!$E$2:$E$505)</f>
        <v>575</v>
      </c>
      <c r="I351" s="16">
        <f t="shared" si="11"/>
        <v>816.7</v>
      </c>
    </row>
    <row r="352" spans="1:9" ht="14.25" customHeight="1" x14ac:dyDescent="0.3">
      <c r="A352" s="5">
        <v>43949</v>
      </c>
      <c r="B352">
        <f t="shared" si="10"/>
        <v>18</v>
      </c>
      <c r="C352" s="6" t="s">
        <v>23</v>
      </c>
      <c r="D352" s="6">
        <v>12541.5</v>
      </c>
      <c r="E352" s="6">
        <v>992541</v>
      </c>
      <c r="F352" s="7" cm="1">
        <f t="array" ref="F352">_xlfn.XLOOKUP(A352&amp;C352, Лист2!$A$2:$A$505&amp;Лист2!$B$2:$B$505, Лист2!$C$2:$C$505)</f>
        <v>15</v>
      </c>
      <c r="G352" s="15" cm="1">
        <f t="array" ref="G352">_xlfn.XLOOKUP(A352&amp;C352, Лист2!$A$2:$A$505&amp;Лист2!$B$2:$B$505, Лист2!$D$2:$D$505)</f>
        <v>636</v>
      </c>
      <c r="H352" s="18" cm="1">
        <f t="array" ref="H352">_xlfn.XLOOKUP(A352&amp;C352, Лист2!$A$2:$A$505&amp;Лист2!$B$2:$B$505, Лист2!$E$2:$E$505)</f>
        <v>547</v>
      </c>
      <c r="I352" s="16">
        <f t="shared" si="11"/>
        <v>836.1</v>
      </c>
    </row>
    <row r="353" spans="1:9" ht="14.25" customHeight="1" x14ac:dyDescent="0.3">
      <c r="A353" s="8">
        <v>43982</v>
      </c>
      <c r="B353">
        <f t="shared" si="10"/>
        <v>22</v>
      </c>
      <c r="C353" s="9" t="s">
        <v>22</v>
      </c>
      <c r="D353" s="9">
        <v>206758.5</v>
      </c>
      <c r="E353" s="9">
        <v>20717248.5</v>
      </c>
      <c r="F353" s="7" cm="1">
        <f t="array" ref="F353">_xlfn.XLOOKUP(A353&amp;C353, Лист2!$A$2:$A$505&amp;Лист2!$B$2:$B$505, Лист2!$C$2:$C$505)</f>
        <v>54</v>
      </c>
      <c r="G353" s="15" cm="1">
        <f t="array" ref="G353">_xlfn.XLOOKUP(A353&amp;C353, Лист2!$A$2:$A$505&amp;Лист2!$B$2:$B$505, Лист2!$D$2:$D$505)</f>
        <v>13106</v>
      </c>
      <c r="H353" s="18" cm="1">
        <f t="array" ref="H353">_xlfn.XLOOKUP(A353&amp;C353, Лист2!$A$2:$A$505&amp;Лист2!$B$2:$B$505, Лист2!$E$2:$E$505)</f>
        <v>12164</v>
      </c>
      <c r="I353" s="16">
        <f t="shared" si="11"/>
        <v>3828.8611111111113</v>
      </c>
    </row>
    <row r="354" spans="1:9" ht="14.25" customHeight="1" x14ac:dyDescent="0.3">
      <c r="A354" s="5">
        <v>43981</v>
      </c>
      <c r="B354">
        <f t="shared" si="10"/>
        <v>22</v>
      </c>
      <c r="C354" s="6" t="s">
        <v>22</v>
      </c>
      <c r="D354" s="6">
        <v>244734</v>
      </c>
      <c r="E354" s="6">
        <v>24151980</v>
      </c>
      <c r="F354" s="7" cm="1">
        <f t="array" ref="F354">_xlfn.XLOOKUP(A354&amp;C354, Лист2!$A$2:$A$505&amp;Лист2!$B$2:$B$505, Лист2!$C$2:$C$505)</f>
        <v>54</v>
      </c>
      <c r="G354" s="15" cm="1">
        <f t="array" ref="G354">_xlfn.XLOOKUP(A354&amp;C354, Лист2!$A$2:$A$505&amp;Лист2!$B$2:$B$505, Лист2!$D$2:$D$505)</f>
        <v>14590</v>
      </c>
      <c r="H354" s="18" cm="1">
        <f t="array" ref="H354">_xlfn.XLOOKUP(A354&amp;C354, Лист2!$A$2:$A$505&amp;Лист2!$B$2:$B$505, Лист2!$E$2:$E$505)</f>
        <v>13551</v>
      </c>
      <c r="I354" s="16">
        <f t="shared" si="11"/>
        <v>4532.1111111111113</v>
      </c>
    </row>
    <row r="355" spans="1:9" ht="14.25" customHeight="1" x14ac:dyDescent="0.3">
      <c r="A355" s="8">
        <v>43979</v>
      </c>
      <c r="B355">
        <f t="shared" si="10"/>
        <v>22</v>
      </c>
      <c r="C355" s="9" t="s">
        <v>22</v>
      </c>
      <c r="D355" s="9">
        <v>191641.5</v>
      </c>
      <c r="E355" s="9">
        <v>19549036.5</v>
      </c>
      <c r="F355" s="7" cm="1">
        <f t="array" ref="F355">_xlfn.XLOOKUP(A355&amp;C355, Лист2!$A$2:$A$505&amp;Лист2!$B$2:$B$505, Лист2!$C$2:$C$505)</f>
        <v>54</v>
      </c>
      <c r="G355" s="15" cm="1">
        <f t="array" ref="G355">_xlfn.XLOOKUP(A355&amp;C355, Лист2!$A$2:$A$505&amp;Лист2!$B$2:$B$505, Лист2!$D$2:$D$505)</f>
        <v>12409</v>
      </c>
      <c r="H355" s="18" cm="1">
        <f t="array" ref="H355">_xlfn.XLOOKUP(A355&amp;C355, Лист2!$A$2:$A$505&amp;Лист2!$B$2:$B$505, Лист2!$E$2:$E$505)</f>
        <v>11582</v>
      </c>
      <c r="I355" s="16">
        <f t="shared" si="11"/>
        <v>3548.9166666666665</v>
      </c>
    </row>
    <row r="356" spans="1:9" ht="14.25" customHeight="1" x14ac:dyDescent="0.3">
      <c r="A356" s="5">
        <v>43967</v>
      </c>
      <c r="B356">
        <f t="shared" si="10"/>
        <v>20</v>
      </c>
      <c r="C356" s="6" t="s">
        <v>23</v>
      </c>
      <c r="D356" s="6">
        <v>16368</v>
      </c>
      <c r="E356" s="6">
        <v>1316350.5</v>
      </c>
      <c r="F356" s="7" cm="1">
        <f t="array" ref="F356">_xlfn.XLOOKUP(A356&amp;C356, Лист2!$A$2:$A$505&amp;Лист2!$B$2:$B$505, Лист2!$C$2:$C$505)</f>
        <v>16</v>
      </c>
      <c r="G356" s="15" cm="1">
        <f t="array" ref="G356">_xlfn.XLOOKUP(A356&amp;C356, Лист2!$A$2:$A$505&amp;Лист2!$B$2:$B$505, Лист2!$D$2:$D$505)</f>
        <v>920</v>
      </c>
      <c r="H356" s="18" cm="1">
        <f t="array" ref="H356">_xlfn.XLOOKUP(A356&amp;C356, Лист2!$A$2:$A$505&amp;Лист2!$B$2:$B$505, Лист2!$E$2:$E$505)</f>
        <v>818</v>
      </c>
      <c r="I356" s="16">
        <f t="shared" si="11"/>
        <v>1023</v>
      </c>
    </row>
    <row r="357" spans="1:9" ht="14.25" customHeight="1" x14ac:dyDescent="0.3">
      <c r="A357" s="8">
        <v>43970</v>
      </c>
      <c r="B357">
        <f t="shared" si="10"/>
        <v>21</v>
      </c>
      <c r="C357" s="9" t="s">
        <v>23</v>
      </c>
      <c r="D357" s="9">
        <v>14427</v>
      </c>
      <c r="E357" s="9">
        <v>1126810.5</v>
      </c>
      <c r="F357" s="7" cm="1">
        <f t="array" ref="F357">_xlfn.XLOOKUP(A357&amp;C357, Лист2!$A$2:$A$505&amp;Лист2!$B$2:$B$505, Лист2!$C$2:$C$505)</f>
        <v>17</v>
      </c>
      <c r="G357" s="15" cm="1">
        <f t="array" ref="G357">_xlfn.XLOOKUP(A357&amp;C357, Лист2!$A$2:$A$505&amp;Лист2!$B$2:$B$505, Лист2!$D$2:$D$505)</f>
        <v>857</v>
      </c>
      <c r="H357" s="18" cm="1">
        <f t="array" ref="H357">_xlfn.XLOOKUP(A357&amp;C357, Лист2!$A$2:$A$505&amp;Лист2!$B$2:$B$505, Лист2!$E$2:$E$505)</f>
        <v>757</v>
      </c>
      <c r="I357" s="16">
        <f t="shared" si="11"/>
        <v>848.64705882352939</v>
      </c>
    </row>
    <row r="358" spans="1:9" ht="14.25" customHeight="1" x14ac:dyDescent="0.3">
      <c r="A358" s="5">
        <v>43968</v>
      </c>
      <c r="B358">
        <f t="shared" si="10"/>
        <v>20</v>
      </c>
      <c r="C358" s="6" t="s">
        <v>23</v>
      </c>
      <c r="D358" s="6">
        <v>13440</v>
      </c>
      <c r="E358" s="6">
        <v>1157529</v>
      </c>
      <c r="F358" s="7" cm="1">
        <f t="array" ref="F358">_xlfn.XLOOKUP(A358&amp;C358, Лист2!$A$2:$A$505&amp;Лист2!$B$2:$B$505, Лист2!$C$2:$C$505)</f>
        <v>16</v>
      </c>
      <c r="G358" s="15" cm="1">
        <f t="array" ref="G358">_xlfn.XLOOKUP(A358&amp;C358, Лист2!$A$2:$A$505&amp;Лист2!$B$2:$B$505, Лист2!$D$2:$D$505)</f>
        <v>859</v>
      </c>
      <c r="H358" s="18" cm="1">
        <f t="array" ref="H358">_xlfn.XLOOKUP(A358&amp;C358, Лист2!$A$2:$A$505&amp;Лист2!$B$2:$B$505, Лист2!$E$2:$E$505)</f>
        <v>746</v>
      </c>
      <c r="I358" s="16">
        <f t="shared" si="11"/>
        <v>840</v>
      </c>
    </row>
    <row r="359" spans="1:9" ht="14.25" customHeight="1" x14ac:dyDescent="0.3">
      <c r="A359" s="8">
        <v>43960</v>
      </c>
      <c r="B359">
        <f t="shared" si="10"/>
        <v>19</v>
      </c>
      <c r="C359" s="9" t="s">
        <v>23</v>
      </c>
      <c r="D359" s="9">
        <v>11745</v>
      </c>
      <c r="E359" s="9">
        <v>955801.5</v>
      </c>
      <c r="F359" s="7" cm="1">
        <f t="array" ref="F359">_xlfn.XLOOKUP(A359&amp;C359, Лист2!$A$2:$A$505&amp;Лист2!$B$2:$B$505, Лист2!$C$2:$C$505)</f>
        <v>15</v>
      </c>
      <c r="G359" s="15" cm="1">
        <f t="array" ref="G359">_xlfn.XLOOKUP(A359&amp;C359, Лист2!$A$2:$A$505&amp;Лист2!$B$2:$B$505, Лист2!$D$2:$D$505)</f>
        <v>654</v>
      </c>
      <c r="H359" s="18" cm="1">
        <f t="array" ref="H359">_xlfn.XLOOKUP(A359&amp;C359, Лист2!$A$2:$A$505&amp;Лист2!$B$2:$B$505, Лист2!$E$2:$E$505)</f>
        <v>570</v>
      </c>
      <c r="I359" s="16">
        <f t="shared" si="11"/>
        <v>783</v>
      </c>
    </row>
    <row r="360" spans="1:9" ht="14.25" customHeight="1" x14ac:dyDescent="0.3">
      <c r="A360" s="5">
        <v>43955</v>
      </c>
      <c r="B360">
        <f t="shared" si="10"/>
        <v>19</v>
      </c>
      <c r="C360" s="6" t="s">
        <v>23</v>
      </c>
      <c r="D360" s="6">
        <v>11062.5</v>
      </c>
      <c r="E360" s="6">
        <v>906343.5</v>
      </c>
      <c r="F360" s="7" cm="1">
        <f t="array" ref="F360">_xlfn.XLOOKUP(A360&amp;C360, Лист2!$A$2:$A$505&amp;Лист2!$B$2:$B$505, Лист2!$C$2:$C$505)</f>
        <v>15</v>
      </c>
      <c r="G360" s="15" cm="1">
        <f t="array" ref="G360">_xlfn.XLOOKUP(A360&amp;C360, Лист2!$A$2:$A$505&amp;Лист2!$B$2:$B$505, Лист2!$D$2:$D$505)</f>
        <v>622</v>
      </c>
      <c r="H360" s="18" cm="1">
        <f t="array" ref="H360">_xlfn.XLOOKUP(A360&amp;C360, Лист2!$A$2:$A$505&amp;Лист2!$B$2:$B$505, Лист2!$E$2:$E$505)</f>
        <v>538</v>
      </c>
      <c r="I360" s="16">
        <f t="shared" si="11"/>
        <v>737.5</v>
      </c>
    </row>
    <row r="361" spans="1:9" ht="14.25" customHeight="1" x14ac:dyDescent="0.3">
      <c r="A361" s="8">
        <v>43953</v>
      </c>
      <c r="B361">
        <f t="shared" si="10"/>
        <v>18</v>
      </c>
      <c r="C361" s="9" t="s">
        <v>23</v>
      </c>
      <c r="D361" s="9">
        <v>10018.5</v>
      </c>
      <c r="E361" s="9">
        <v>816859.5</v>
      </c>
      <c r="F361" s="7" cm="1">
        <f t="array" ref="F361">_xlfn.XLOOKUP(A361&amp;C361, Лист2!$A$2:$A$505&amp;Лист2!$B$2:$B$505, Лист2!$C$2:$C$505)</f>
        <v>15</v>
      </c>
      <c r="G361" s="15" cm="1">
        <f t="array" ref="G361">_xlfn.XLOOKUP(A361&amp;C361, Лист2!$A$2:$A$505&amp;Лист2!$B$2:$B$505, Лист2!$D$2:$D$505)</f>
        <v>567</v>
      </c>
      <c r="H361" s="18" cm="1">
        <f t="array" ref="H361">_xlfn.XLOOKUP(A361&amp;C361, Лист2!$A$2:$A$505&amp;Лист2!$B$2:$B$505, Лист2!$E$2:$E$505)</f>
        <v>493</v>
      </c>
      <c r="I361" s="16">
        <f t="shared" si="11"/>
        <v>667.9</v>
      </c>
    </row>
    <row r="362" spans="1:9" ht="14.25" customHeight="1" x14ac:dyDescent="0.3">
      <c r="A362" s="5">
        <v>43977</v>
      </c>
      <c r="B362">
        <f t="shared" si="10"/>
        <v>22</v>
      </c>
      <c r="C362" s="6" t="s">
        <v>24</v>
      </c>
      <c r="D362" s="6">
        <v>10437</v>
      </c>
      <c r="E362" s="6">
        <v>833815.5</v>
      </c>
      <c r="F362" s="7" cm="1">
        <f t="array" ref="F362">_xlfn.XLOOKUP(A362&amp;C362, Лист2!$A$2:$A$505&amp;Лист2!$B$2:$B$505, Лист2!$C$2:$C$505)</f>
        <v>7</v>
      </c>
      <c r="G362" s="15" cm="1">
        <f t="array" ref="G362">_xlfn.XLOOKUP(A362&amp;C362, Лист2!$A$2:$A$505&amp;Лист2!$B$2:$B$505, Лист2!$D$2:$D$505)</f>
        <v>577</v>
      </c>
      <c r="H362" s="18" cm="1">
        <f t="array" ref="H362">_xlfn.XLOOKUP(A362&amp;C362, Лист2!$A$2:$A$505&amp;Лист2!$B$2:$B$505, Лист2!$E$2:$E$505)</f>
        <v>389</v>
      </c>
      <c r="I362" s="16">
        <f t="shared" si="11"/>
        <v>1491</v>
      </c>
    </row>
    <row r="363" spans="1:9" ht="14.25" customHeight="1" x14ac:dyDescent="0.3">
      <c r="A363" s="8">
        <v>43952</v>
      </c>
      <c r="B363">
        <f t="shared" si="10"/>
        <v>18</v>
      </c>
      <c r="C363" s="9" t="s">
        <v>23</v>
      </c>
      <c r="D363" s="9">
        <v>13644</v>
      </c>
      <c r="E363" s="9">
        <v>1134444</v>
      </c>
      <c r="F363" s="7" cm="1">
        <f t="array" ref="F363">_xlfn.XLOOKUP(A363&amp;C363, Лист2!$A$2:$A$505&amp;Лист2!$B$2:$B$505, Лист2!$C$2:$C$505)</f>
        <v>15</v>
      </c>
      <c r="G363" s="15" cm="1">
        <f t="array" ref="G363">_xlfn.XLOOKUP(A363&amp;C363, Лист2!$A$2:$A$505&amp;Лист2!$B$2:$B$505, Лист2!$D$2:$D$505)</f>
        <v>721</v>
      </c>
      <c r="H363" s="18" cm="1">
        <f t="array" ref="H363">_xlfn.XLOOKUP(A363&amp;C363, Лист2!$A$2:$A$505&amp;Лист2!$B$2:$B$505, Лист2!$E$2:$E$505)</f>
        <v>625</v>
      </c>
      <c r="I363" s="16">
        <f t="shared" si="11"/>
        <v>909.6</v>
      </c>
    </row>
    <row r="364" spans="1:9" ht="14.25" customHeight="1" x14ac:dyDescent="0.3">
      <c r="A364" s="5">
        <v>43963</v>
      </c>
      <c r="B364">
        <f t="shared" si="10"/>
        <v>20</v>
      </c>
      <c r="C364" s="6" t="s">
        <v>23</v>
      </c>
      <c r="D364" s="6">
        <v>13443</v>
      </c>
      <c r="E364" s="6">
        <v>1092277.5</v>
      </c>
      <c r="F364" s="7" cm="1">
        <f t="array" ref="F364">_xlfn.XLOOKUP(A364&amp;C364, Лист2!$A$2:$A$505&amp;Лист2!$B$2:$B$505, Лист2!$C$2:$C$505)</f>
        <v>15</v>
      </c>
      <c r="G364" s="15" cm="1">
        <f t="array" ref="G364">_xlfn.XLOOKUP(A364&amp;C364, Лист2!$A$2:$A$505&amp;Лист2!$B$2:$B$505, Лист2!$D$2:$D$505)</f>
        <v>750</v>
      </c>
      <c r="H364" s="18" cm="1">
        <f t="array" ref="H364">_xlfn.XLOOKUP(A364&amp;C364, Лист2!$A$2:$A$505&amp;Лист2!$B$2:$B$505, Лист2!$E$2:$E$505)</f>
        <v>659</v>
      </c>
      <c r="I364" s="16">
        <f t="shared" si="11"/>
        <v>896.2</v>
      </c>
    </row>
    <row r="365" spans="1:9" ht="14.25" customHeight="1" x14ac:dyDescent="0.3">
      <c r="A365" s="8">
        <v>43972</v>
      </c>
      <c r="B365">
        <f t="shared" si="10"/>
        <v>21</v>
      </c>
      <c r="C365" s="9" t="s">
        <v>23</v>
      </c>
      <c r="D365" s="9">
        <v>14182.5</v>
      </c>
      <c r="E365" s="9">
        <v>1172574</v>
      </c>
      <c r="F365" s="7" cm="1">
        <f t="array" ref="F365">_xlfn.XLOOKUP(A365&amp;C365, Лист2!$A$2:$A$505&amp;Лист2!$B$2:$B$505, Лист2!$C$2:$C$505)</f>
        <v>18</v>
      </c>
      <c r="G365" s="15" cm="1">
        <f t="array" ref="G365">_xlfn.XLOOKUP(A365&amp;C365, Лист2!$A$2:$A$505&amp;Лист2!$B$2:$B$505, Лист2!$D$2:$D$505)</f>
        <v>888</v>
      </c>
      <c r="H365" s="18" cm="1">
        <f t="array" ref="H365">_xlfn.XLOOKUP(A365&amp;C365, Лист2!$A$2:$A$505&amp;Лист2!$B$2:$B$505, Лист2!$E$2:$E$505)</f>
        <v>786</v>
      </c>
      <c r="I365" s="16">
        <f t="shared" si="11"/>
        <v>787.91666666666663</v>
      </c>
    </row>
    <row r="366" spans="1:9" ht="14.25" customHeight="1" x14ac:dyDescent="0.3">
      <c r="A366" s="5">
        <v>43971</v>
      </c>
      <c r="B366">
        <f t="shared" si="10"/>
        <v>21</v>
      </c>
      <c r="C366" s="6" t="s">
        <v>23</v>
      </c>
      <c r="D366" s="6">
        <v>14928</v>
      </c>
      <c r="E366" s="6">
        <v>1217749.5</v>
      </c>
      <c r="F366" s="7" cm="1">
        <f t="array" ref="F366">_xlfn.XLOOKUP(A366&amp;C366, Лист2!$A$2:$A$505&amp;Лист2!$B$2:$B$505, Лист2!$C$2:$C$505)</f>
        <v>17</v>
      </c>
      <c r="G366" s="15" cm="1">
        <f t="array" ref="G366">_xlfn.XLOOKUP(A366&amp;C366, Лист2!$A$2:$A$505&amp;Лист2!$B$2:$B$505, Лист2!$D$2:$D$505)</f>
        <v>890</v>
      </c>
      <c r="H366" s="18" cm="1">
        <f t="array" ref="H366">_xlfn.XLOOKUP(A366&amp;C366, Лист2!$A$2:$A$505&amp;Лист2!$B$2:$B$505, Лист2!$E$2:$E$505)</f>
        <v>794</v>
      </c>
      <c r="I366" s="16">
        <f t="shared" si="11"/>
        <v>878.11764705882354</v>
      </c>
    </row>
    <row r="367" spans="1:9" ht="14.25" customHeight="1" x14ac:dyDescent="0.3">
      <c r="A367" s="8">
        <v>43956</v>
      </c>
      <c r="B367">
        <f t="shared" si="10"/>
        <v>19</v>
      </c>
      <c r="C367" s="9" t="s">
        <v>23</v>
      </c>
      <c r="D367" s="9">
        <v>13941</v>
      </c>
      <c r="E367" s="9">
        <v>1145575.5</v>
      </c>
      <c r="F367" s="7" cm="1">
        <f t="array" ref="F367">_xlfn.XLOOKUP(A367&amp;C367, Лист2!$A$2:$A$505&amp;Лист2!$B$2:$B$505, Лист2!$C$2:$C$505)</f>
        <v>15</v>
      </c>
      <c r="G367" s="15" cm="1">
        <f t="array" ref="G367">_xlfn.XLOOKUP(A367&amp;C367, Лист2!$A$2:$A$505&amp;Лист2!$B$2:$B$505, Лист2!$D$2:$D$505)</f>
        <v>750</v>
      </c>
      <c r="H367" s="18" cm="1">
        <f t="array" ref="H367">_xlfn.XLOOKUP(A367&amp;C367, Лист2!$A$2:$A$505&amp;Лист2!$B$2:$B$505, Лист2!$E$2:$E$505)</f>
        <v>658</v>
      </c>
      <c r="I367" s="16">
        <f t="shared" si="11"/>
        <v>929.4</v>
      </c>
    </row>
    <row r="368" spans="1:9" ht="14.25" customHeight="1" x14ac:dyDescent="0.3">
      <c r="A368" s="5">
        <v>43964</v>
      </c>
      <c r="B368">
        <f t="shared" si="10"/>
        <v>20</v>
      </c>
      <c r="C368" s="6" t="s">
        <v>23</v>
      </c>
      <c r="D368" s="6">
        <v>14643</v>
      </c>
      <c r="E368" s="6">
        <v>1172691</v>
      </c>
      <c r="F368" s="7" cm="1">
        <f t="array" ref="F368">_xlfn.XLOOKUP(A368&amp;C368, Лист2!$A$2:$A$505&amp;Лист2!$B$2:$B$505, Лист2!$C$2:$C$505)</f>
        <v>15</v>
      </c>
      <c r="G368" s="15" cm="1">
        <f t="array" ref="G368">_xlfn.XLOOKUP(A368&amp;C368, Лист2!$A$2:$A$505&amp;Лист2!$B$2:$B$505, Лист2!$D$2:$D$505)</f>
        <v>854</v>
      </c>
      <c r="H368" s="18" cm="1">
        <f t="array" ref="H368">_xlfn.XLOOKUP(A368&amp;C368, Лист2!$A$2:$A$505&amp;Лист2!$B$2:$B$505, Лист2!$E$2:$E$505)</f>
        <v>756</v>
      </c>
      <c r="I368" s="16">
        <f t="shared" si="11"/>
        <v>976.2</v>
      </c>
    </row>
    <row r="369" spans="1:9" ht="14.25" customHeight="1" x14ac:dyDescent="0.3">
      <c r="A369" s="8">
        <v>43954</v>
      </c>
      <c r="B369">
        <f t="shared" si="10"/>
        <v>18</v>
      </c>
      <c r="C369" s="9" t="s">
        <v>23</v>
      </c>
      <c r="D369" s="9">
        <v>10032</v>
      </c>
      <c r="E369" s="9">
        <v>816150</v>
      </c>
      <c r="F369" s="7" cm="1">
        <f t="array" ref="F369">_xlfn.XLOOKUP(A369&amp;C369, Лист2!$A$2:$A$505&amp;Лист2!$B$2:$B$505, Лист2!$C$2:$C$505)</f>
        <v>15</v>
      </c>
      <c r="G369" s="15" cm="1">
        <f t="array" ref="G369">_xlfn.XLOOKUP(A369&amp;C369, Лист2!$A$2:$A$505&amp;Лист2!$B$2:$B$505, Лист2!$D$2:$D$505)</f>
        <v>585</v>
      </c>
      <c r="H369" s="18" cm="1">
        <f t="array" ref="H369">_xlfn.XLOOKUP(A369&amp;C369, Лист2!$A$2:$A$505&amp;Лист2!$B$2:$B$505, Лист2!$E$2:$E$505)</f>
        <v>502</v>
      </c>
      <c r="I369" s="16">
        <f t="shared" si="11"/>
        <v>668.8</v>
      </c>
    </row>
    <row r="370" spans="1:9" ht="14.25" customHeight="1" x14ac:dyDescent="0.3">
      <c r="A370" s="5">
        <v>43957</v>
      </c>
      <c r="B370">
        <f t="shared" si="10"/>
        <v>19</v>
      </c>
      <c r="C370" s="6" t="s">
        <v>23</v>
      </c>
      <c r="D370" s="6">
        <v>12468</v>
      </c>
      <c r="E370" s="6">
        <v>1016566.5</v>
      </c>
      <c r="F370" s="7" cm="1">
        <f t="array" ref="F370">_xlfn.XLOOKUP(A370&amp;C370, Лист2!$A$2:$A$505&amp;Лист2!$B$2:$B$505, Лист2!$C$2:$C$505)</f>
        <v>15</v>
      </c>
      <c r="G370" s="15" cm="1">
        <f t="array" ref="G370">_xlfn.XLOOKUP(A370&amp;C370, Лист2!$A$2:$A$505&amp;Лист2!$B$2:$B$505, Лист2!$D$2:$D$505)</f>
        <v>701</v>
      </c>
      <c r="H370" s="18" cm="1">
        <f t="array" ref="H370">_xlfn.XLOOKUP(A370&amp;C370, Лист2!$A$2:$A$505&amp;Лист2!$B$2:$B$505, Лист2!$E$2:$E$505)</f>
        <v>611</v>
      </c>
      <c r="I370" s="16">
        <f t="shared" si="11"/>
        <v>831.2</v>
      </c>
    </row>
    <row r="371" spans="1:9" ht="14.25" customHeight="1" x14ac:dyDescent="0.3">
      <c r="A371" s="8">
        <v>43974</v>
      </c>
      <c r="B371">
        <f t="shared" si="10"/>
        <v>21</v>
      </c>
      <c r="C371" s="9" t="s">
        <v>23</v>
      </c>
      <c r="D371" s="9">
        <v>17943</v>
      </c>
      <c r="E371" s="9">
        <v>1457391</v>
      </c>
      <c r="F371" s="7" cm="1">
        <f t="array" ref="F371">_xlfn.XLOOKUP(A371&amp;C371, Лист2!$A$2:$A$505&amp;Лист2!$B$2:$B$505, Лист2!$C$2:$C$505)</f>
        <v>18</v>
      </c>
      <c r="G371" s="15" cm="1">
        <f t="array" ref="G371">_xlfn.XLOOKUP(A371&amp;C371, Лист2!$A$2:$A$505&amp;Лист2!$B$2:$B$505, Лист2!$D$2:$D$505)</f>
        <v>1031</v>
      </c>
      <c r="H371" s="18" cm="1">
        <f t="array" ref="H371">_xlfn.XLOOKUP(A371&amp;C371, Лист2!$A$2:$A$505&amp;Лист2!$B$2:$B$505, Лист2!$E$2:$E$505)</f>
        <v>918</v>
      </c>
      <c r="I371" s="16">
        <f t="shared" si="11"/>
        <v>996.83333333333337</v>
      </c>
    </row>
    <row r="372" spans="1:9" ht="14.25" customHeight="1" x14ac:dyDescent="0.3">
      <c r="A372" s="5">
        <v>43976</v>
      </c>
      <c r="B372">
        <f t="shared" si="10"/>
        <v>22</v>
      </c>
      <c r="C372" s="6" t="s">
        <v>23</v>
      </c>
      <c r="D372" s="6">
        <v>15807</v>
      </c>
      <c r="E372" s="6">
        <v>1326705</v>
      </c>
      <c r="F372" s="7" cm="1">
        <f t="array" ref="F372">_xlfn.XLOOKUP(A372&amp;C372, Лист2!$A$2:$A$505&amp;Лист2!$B$2:$B$505, Лист2!$C$2:$C$505)</f>
        <v>18</v>
      </c>
      <c r="G372" s="15" cm="1">
        <f t="array" ref="G372">_xlfn.XLOOKUP(A372&amp;C372, Лист2!$A$2:$A$505&amp;Лист2!$B$2:$B$505, Лист2!$D$2:$D$505)</f>
        <v>989</v>
      </c>
      <c r="H372" s="18" cm="1">
        <f t="array" ref="H372">_xlfn.XLOOKUP(A372&amp;C372, Лист2!$A$2:$A$505&amp;Лист2!$B$2:$B$505, Лист2!$E$2:$E$505)</f>
        <v>887</v>
      </c>
      <c r="I372" s="16">
        <f t="shared" si="11"/>
        <v>878.16666666666663</v>
      </c>
    </row>
    <row r="373" spans="1:9" ht="14.25" customHeight="1" x14ac:dyDescent="0.3">
      <c r="A373" s="8">
        <v>43951</v>
      </c>
      <c r="B373">
        <f t="shared" si="10"/>
        <v>18</v>
      </c>
      <c r="C373" s="9" t="s">
        <v>23</v>
      </c>
      <c r="D373" s="9">
        <v>11976</v>
      </c>
      <c r="E373" s="9">
        <v>1004511</v>
      </c>
      <c r="F373" s="7" cm="1">
        <f t="array" ref="F373">_xlfn.XLOOKUP(A373&amp;C373, Лист2!$A$2:$A$505&amp;Лист2!$B$2:$B$505, Лист2!$C$2:$C$505)</f>
        <v>15</v>
      </c>
      <c r="G373" s="15" cm="1">
        <f t="array" ref="G373">_xlfn.XLOOKUP(A373&amp;C373, Лист2!$A$2:$A$505&amp;Лист2!$B$2:$B$505, Лист2!$D$2:$D$505)</f>
        <v>644</v>
      </c>
      <c r="H373" s="18" cm="1">
        <f t="array" ref="H373">_xlfn.XLOOKUP(A373&amp;C373, Лист2!$A$2:$A$505&amp;Лист2!$B$2:$B$505, Лист2!$E$2:$E$505)</f>
        <v>550</v>
      </c>
      <c r="I373" s="16">
        <f t="shared" si="11"/>
        <v>798.4</v>
      </c>
    </row>
    <row r="374" spans="1:9" ht="14.25" customHeight="1" x14ac:dyDescent="0.3">
      <c r="A374" s="5">
        <v>43961</v>
      </c>
      <c r="B374">
        <f t="shared" si="10"/>
        <v>19</v>
      </c>
      <c r="C374" s="6" t="s">
        <v>23</v>
      </c>
      <c r="D374" s="6">
        <v>14566.5</v>
      </c>
      <c r="E374" s="6">
        <v>1216557</v>
      </c>
      <c r="F374" s="7" cm="1">
        <f t="array" ref="F374">_xlfn.XLOOKUP(A374&amp;C374, Лист2!$A$2:$A$505&amp;Лист2!$B$2:$B$505, Лист2!$C$2:$C$505)</f>
        <v>15</v>
      </c>
      <c r="G374" s="15" cm="1">
        <f t="array" ref="G374">_xlfn.XLOOKUP(A374&amp;C374, Лист2!$A$2:$A$505&amp;Лист2!$B$2:$B$505, Лист2!$D$2:$D$505)</f>
        <v>792</v>
      </c>
      <c r="H374" s="18" cm="1">
        <f t="array" ref="H374">_xlfn.XLOOKUP(A374&amp;C374, Лист2!$A$2:$A$505&amp;Лист2!$B$2:$B$505, Лист2!$E$2:$E$505)</f>
        <v>695</v>
      </c>
      <c r="I374" s="16">
        <f t="shared" si="11"/>
        <v>971.1</v>
      </c>
    </row>
    <row r="375" spans="1:9" ht="14.25" customHeight="1" x14ac:dyDescent="0.3">
      <c r="A375" s="8">
        <v>43959</v>
      </c>
      <c r="B375">
        <f t="shared" si="10"/>
        <v>19</v>
      </c>
      <c r="C375" s="9" t="s">
        <v>23</v>
      </c>
      <c r="D375" s="9">
        <v>12976.5</v>
      </c>
      <c r="E375" s="9">
        <v>1046848.5</v>
      </c>
      <c r="F375" s="7" cm="1">
        <f t="array" ref="F375">_xlfn.XLOOKUP(A375&amp;C375, Лист2!$A$2:$A$505&amp;Лист2!$B$2:$B$505, Лист2!$C$2:$C$505)</f>
        <v>15</v>
      </c>
      <c r="G375" s="15" cm="1">
        <f t="array" ref="G375">_xlfn.XLOOKUP(A375&amp;C375, Лист2!$A$2:$A$505&amp;Лист2!$B$2:$B$505, Лист2!$D$2:$D$505)</f>
        <v>703</v>
      </c>
      <c r="H375" s="18" cm="1">
        <f t="array" ref="H375">_xlfn.XLOOKUP(A375&amp;C375, Лист2!$A$2:$A$505&amp;Лист2!$B$2:$B$505, Лист2!$E$2:$E$505)</f>
        <v>609</v>
      </c>
      <c r="I375" s="16">
        <f t="shared" si="11"/>
        <v>865.1</v>
      </c>
    </row>
    <row r="376" spans="1:9" ht="14.25" customHeight="1" x14ac:dyDescent="0.3">
      <c r="A376" s="5">
        <v>43958</v>
      </c>
      <c r="B376">
        <f t="shared" si="10"/>
        <v>19</v>
      </c>
      <c r="C376" s="6" t="s">
        <v>23</v>
      </c>
      <c r="D376" s="6">
        <v>11719.5</v>
      </c>
      <c r="E376" s="6">
        <v>965880</v>
      </c>
      <c r="F376" s="7" cm="1">
        <f t="array" ref="F376">_xlfn.XLOOKUP(A376&amp;C376, Лист2!$A$2:$A$505&amp;Лист2!$B$2:$B$505, Лист2!$C$2:$C$505)</f>
        <v>15</v>
      </c>
      <c r="G376" s="15" cm="1">
        <f t="array" ref="G376">_xlfn.XLOOKUP(A376&amp;C376, Лист2!$A$2:$A$505&amp;Лист2!$B$2:$B$505, Лист2!$D$2:$D$505)</f>
        <v>676</v>
      </c>
      <c r="H376" s="18" cm="1">
        <f t="array" ref="H376">_xlfn.XLOOKUP(A376&amp;C376, Лист2!$A$2:$A$505&amp;Лист2!$B$2:$B$505, Лист2!$E$2:$E$505)</f>
        <v>591</v>
      </c>
      <c r="I376" s="16">
        <f t="shared" si="11"/>
        <v>781.3</v>
      </c>
    </row>
    <row r="377" spans="1:9" ht="14.25" customHeight="1" x14ac:dyDescent="0.3">
      <c r="A377" s="8">
        <v>43975</v>
      </c>
      <c r="B377">
        <f t="shared" si="10"/>
        <v>21</v>
      </c>
      <c r="C377" s="9" t="s">
        <v>23</v>
      </c>
      <c r="D377" s="9">
        <v>17197.5</v>
      </c>
      <c r="E377" s="9">
        <v>1386262.5</v>
      </c>
      <c r="F377" s="7" cm="1">
        <f t="array" ref="F377">_xlfn.XLOOKUP(A377&amp;C377, Лист2!$A$2:$A$505&amp;Лист2!$B$2:$B$505, Лист2!$C$2:$C$505)</f>
        <v>18</v>
      </c>
      <c r="G377" s="15" cm="1">
        <f t="array" ref="G377">_xlfn.XLOOKUP(A377&amp;C377, Лист2!$A$2:$A$505&amp;Лист2!$B$2:$B$505, Лист2!$D$2:$D$505)</f>
        <v>1006</v>
      </c>
      <c r="H377" s="18" cm="1">
        <f t="array" ref="H377">_xlfn.XLOOKUP(A377&amp;C377, Лист2!$A$2:$A$505&amp;Лист2!$B$2:$B$505, Лист2!$E$2:$E$505)</f>
        <v>904</v>
      </c>
      <c r="I377" s="16">
        <f t="shared" si="11"/>
        <v>955.41666666666663</v>
      </c>
    </row>
    <row r="378" spans="1:9" ht="14.25" customHeight="1" x14ac:dyDescent="0.3">
      <c r="A378" s="5">
        <v>43977</v>
      </c>
      <c r="B378">
        <f t="shared" si="10"/>
        <v>22</v>
      </c>
      <c r="C378" s="6" t="s">
        <v>23</v>
      </c>
      <c r="D378" s="6">
        <v>14419.5</v>
      </c>
      <c r="E378" s="6">
        <v>1210456.5</v>
      </c>
      <c r="F378" s="7" cm="1">
        <f t="array" ref="F378">_xlfn.XLOOKUP(A378&amp;C378, Лист2!$A$2:$A$505&amp;Лист2!$B$2:$B$505, Лист2!$C$2:$C$505)</f>
        <v>18</v>
      </c>
      <c r="G378" s="15" cm="1">
        <f t="array" ref="G378">_xlfn.XLOOKUP(A378&amp;C378, Лист2!$A$2:$A$505&amp;Лист2!$B$2:$B$505, Лист2!$D$2:$D$505)</f>
        <v>914</v>
      </c>
      <c r="H378" s="18" cm="1">
        <f t="array" ref="H378">_xlfn.XLOOKUP(A378&amp;C378, Лист2!$A$2:$A$505&amp;Лист2!$B$2:$B$505, Лист2!$E$2:$E$505)</f>
        <v>804</v>
      </c>
      <c r="I378" s="16">
        <f t="shared" si="11"/>
        <v>801.08333333333337</v>
      </c>
    </row>
    <row r="379" spans="1:9" ht="14.25" customHeight="1" x14ac:dyDescent="0.3">
      <c r="A379" s="8">
        <v>43983</v>
      </c>
      <c r="B379">
        <f t="shared" si="10"/>
        <v>23</v>
      </c>
      <c r="C379" s="9" t="s">
        <v>9</v>
      </c>
      <c r="D379" s="9">
        <v>7816.5</v>
      </c>
      <c r="E379" s="9">
        <v>636345</v>
      </c>
      <c r="F379" s="7" cm="1">
        <f t="array" ref="F379">_xlfn.XLOOKUP(A379&amp;C379, Лист2!$A$2:$A$505&amp;Лист2!$B$2:$B$505, Лист2!$C$2:$C$505)</f>
        <v>15</v>
      </c>
      <c r="G379" s="15" cm="1">
        <f t="array" ref="G379">_xlfn.XLOOKUP(A379&amp;C379, Лист2!$A$2:$A$505&amp;Лист2!$B$2:$B$505, Лист2!$D$2:$D$505)</f>
        <v>453</v>
      </c>
      <c r="H379" s="18" cm="1">
        <f t="array" ref="H379">_xlfn.XLOOKUP(A379&amp;C379, Лист2!$A$2:$A$505&amp;Лист2!$B$2:$B$505, Лист2!$E$2:$E$505)</f>
        <v>370</v>
      </c>
      <c r="I379" s="16">
        <f t="shared" si="11"/>
        <v>521.1</v>
      </c>
    </row>
    <row r="380" spans="1:9" ht="14.25" customHeight="1" x14ac:dyDescent="0.3">
      <c r="A380" s="5">
        <v>43982</v>
      </c>
      <c r="B380">
        <f t="shared" si="10"/>
        <v>22</v>
      </c>
      <c r="C380" s="6" t="s">
        <v>25</v>
      </c>
      <c r="D380" s="6">
        <v>6409.5</v>
      </c>
      <c r="E380" s="6">
        <v>493893</v>
      </c>
      <c r="F380" s="7" cm="1">
        <f t="array" ref="F380">_xlfn.XLOOKUP(A380&amp;C380, Лист2!$A$2:$A$505&amp;Лист2!$B$2:$B$505, Лист2!$C$2:$C$505)</f>
        <v>9</v>
      </c>
      <c r="G380" s="15" cm="1">
        <f t="array" ref="G380">_xlfn.XLOOKUP(A380&amp;C380, Лист2!$A$2:$A$505&amp;Лист2!$B$2:$B$505, Лист2!$D$2:$D$505)</f>
        <v>345</v>
      </c>
      <c r="H380" s="18" cm="1">
        <f t="array" ref="H380">_xlfn.XLOOKUP(A380&amp;C380, Лист2!$A$2:$A$505&amp;Лист2!$B$2:$B$505, Лист2!$E$2:$E$505)</f>
        <v>255</v>
      </c>
      <c r="I380" s="16">
        <f t="shared" si="11"/>
        <v>712.16666666666663</v>
      </c>
    </row>
    <row r="381" spans="1:9" ht="14.25" customHeight="1" x14ac:dyDescent="0.3">
      <c r="A381" s="8">
        <v>43981</v>
      </c>
      <c r="B381">
        <f t="shared" si="10"/>
        <v>22</v>
      </c>
      <c r="C381" s="9" t="s">
        <v>24</v>
      </c>
      <c r="D381" s="9">
        <v>11220</v>
      </c>
      <c r="E381" s="9">
        <v>928675.5</v>
      </c>
      <c r="F381" s="7" cm="1">
        <f t="array" ref="F381">_xlfn.XLOOKUP(A381&amp;C381, Лист2!$A$2:$A$505&amp;Лист2!$B$2:$B$505, Лист2!$C$2:$C$505)</f>
        <v>7</v>
      </c>
      <c r="G381" s="15" cm="1">
        <f t="array" ref="G381">_xlfn.XLOOKUP(A381&amp;C381, Лист2!$A$2:$A$505&amp;Лист2!$B$2:$B$505, Лист2!$D$2:$D$505)</f>
        <v>532</v>
      </c>
      <c r="H381" s="18" cm="1">
        <f t="array" ref="H381">_xlfn.XLOOKUP(A381&amp;C381, Лист2!$A$2:$A$505&amp;Лист2!$B$2:$B$505, Лист2!$E$2:$E$505)</f>
        <v>449</v>
      </c>
      <c r="I381" s="16">
        <f t="shared" si="11"/>
        <v>1602.8571428571429</v>
      </c>
    </row>
    <row r="382" spans="1:9" ht="14.25" customHeight="1" x14ac:dyDescent="0.3">
      <c r="A382" s="5">
        <v>43980</v>
      </c>
      <c r="B382">
        <f t="shared" si="10"/>
        <v>22</v>
      </c>
      <c r="C382" s="6" t="s">
        <v>9</v>
      </c>
      <c r="D382" s="6">
        <v>8350.5</v>
      </c>
      <c r="E382" s="6">
        <v>651237</v>
      </c>
      <c r="F382" s="7" cm="1">
        <f t="array" ref="F382">_xlfn.XLOOKUP(A382&amp;C382, Лист2!$A$2:$A$505&amp;Лист2!$B$2:$B$505, Лист2!$C$2:$C$505)</f>
        <v>15</v>
      </c>
      <c r="G382" s="15" cm="1">
        <f t="array" ref="G382">_xlfn.XLOOKUP(A382&amp;C382, Лист2!$A$2:$A$505&amp;Лист2!$B$2:$B$505, Лист2!$D$2:$D$505)</f>
        <v>400</v>
      </c>
      <c r="H382" s="18" cm="1">
        <f t="array" ref="H382">_xlfn.XLOOKUP(A382&amp;C382, Лист2!$A$2:$A$505&amp;Лист2!$B$2:$B$505, Лист2!$E$2:$E$505)</f>
        <v>329</v>
      </c>
      <c r="I382" s="16">
        <f t="shared" si="11"/>
        <v>556.70000000000005</v>
      </c>
    </row>
    <row r="383" spans="1:9" ht="14.25" customHeight="1" x14ac:dyDescent="0.3">
      <c r="A383" s="8">
        <v>43979</v>
      </c>
      <c r="B383">
        <f t="shared" si="10"/>
        <v>22</v>
      </c>
      <c r="C383" s="9" t="s">
        <v>24</v>
      </c>
      <c r="D383" s="9">
        <v>8428.5</v>
      </c>
      <c r="E383" s="9">
        <v>694669.5</v>
      </c>
      <c r="F383" s="7" cm="1">
        <f t="array" ref="F383">_xlfn.XLOOKUP(A383&amp;C383, Лист2!$A$2:$A$505&amp;Лист2!$B$2:$B$505, Лист2!$C$2:$C$505)</f>
        <v>7</v>
      </c>
      <c r="G383" s="15" cm="1">
        <f t="array" ref="G383">_xlfn.XLOOKUP(A383&amp;C383, Лист2!$A$2:$A$505&amp;Лист2!$B$2:$B$505, Лист2!$D$2:$D$505)</f>
        <v>420</v>
      </c>
      <c r="H383" s="18" cm="1">
        <f t="array" ref="H383">_xlfn.XLOOKUP(A383&amp;C383, Лист2!$A$2:$A$505&amp;Лист2!$B$2:$B$505, Лист2!$E$2:$E$505)</f>
        <v>347</v>
      </c>
      <c r="I383" s="16">
        <f t="shared" si="11"/>
        <v>1204.0714285714287</v>
      </c>
    </row>
    <row r="384" spans="1:9" ht="14.25" customHeight="1" x14ac:dyDescent="0.3">
      <c r="A384" s="5">
        <v>43978</v>
      </c>
      <c r="B384">
        <f t="shared" si="10"/>
        <v>22</v>
      </c>
      <c r="C384" s="6" t="s">
        <v>10</v>
      </c>
      <c r="D384" s="6">
        <v>32817</v>
      </c>
      <c r="E384" s="6">
        <v>3015751.5</v>
      </c>
      <c r="F384" s="7" cm="1">
        <f t="array" ref="F384">_xlfn.XLOOKUP(A384&amp;C384, Лист2!$A$2:$A$505&amp;Лист2!$B$2:$B$505, Лист2!$C$2:$C$505)</f>
        <v>20</v>
      </c>
      <c r="G384" s="15" cm="1">
        <f t="array" ref="G384">_xlfn.XLOOKUP(A384&amp;C384, Лист2!$A$2:$A$505&amp;Лист2!$B$2:$B$505, Лист2!$D$2:$D$505)</f>
        <v>2079</v>
      </c>
      <c r="H384" s="18" cm="1">
        <f t="array" ref="H384">_xlfn.XLOOKUP(A384&amp;C384, Лист2!$A$2:$A$505&amp;Лист2!$B$2:$B$505, Лист2!$E$2:$E$505)</f>
        <v>1893</v>
      </c>
      <c r="I384" s="16">
        <f t="shared" si="11"/>
        <v>1640.85</v>
      </c>
    </row>
    <row r="385" spans="1:9" ht="14.25" customHeight="1" x14ac:dyDescent="0.3">
      <c r="A385" s="8">
        <v>43973</v>
      </c>
      <c r="B385">
        <f t="shared" si="10"/>
        <v>21</v>
      </c>
      <c r="C385" s="9" t="s">
        <v>10</v>
      </c>
      <c r="D385" s="9">
        <v>36031.5</v>
      </c>
      <c r="E385" s="9">
        <v>3091069.5</v>
      </c>
      <c r="F385" s="7" cm="1">
        <f t="array" ref="F385">_xlfn.XLOOKUP(A385&amp;C385, Лист2!$A$2:$A$505&amp;Лист2!$B$2:$B$505, Лист2!$C$2:$C$505)</f>
        <v>21</v>
      </c>
      <c r="G385" s="15" cm="1">
        <f t="array" ref="G385">_xlfn.XLOOKUP(A385&amp;C385, Лист2!$A$2:$A$505&amp;Лист2!$B$2:$B$505, Лист2!$D$2:$D$505)</f>
        <v>2046</v>
      </c>
      <c r="H385" s="18" cm="1">
        <f t="array" ref="H385">_xlfn.XLOOKUP(A385&amp;C385, Лист2!$A$2:$A$505&amp;Лист2!$B$2:$B$505, Лист2!$E$2:$E$505)</f>
        <v>1853</v>
      </c>
      <c r="I385" s="16">
        <f t="shared" si="11"/>
        <v>1715.7857142857142</v>
      </c>
    </row>
    <row r="386" spans="1:9" ht="14.25" customHeight="1" x14ac:dyDescent="0.3">
      <c r="A386" s="5">
        <v>43982</v>
      </c>
      <c r="B386">
        <f t="shared" si="10"/>
        <v>22</v>
      </c>
      <c r="C386" s="6" t="s">
        <v>26</v>
      </c>
      <c r="D386" s="6">
        <v>5127</v>
      </c>
      <c r="E386" s="6">
        <v>468835.5</v>
      </c>
      <c r="F386" s="7" cm="1">
        <f t="array" ref="F386">_xlfn.XLOOKUP(A386&amp;C386, Лист2!$A$2:$A$505&amp;Лист2!$B$2:$B$505, Лист2!$C$2:$C$505)</f>
        <v>6</v>
      </c>
      <c r="G386" s="15" cm="1">
        <f t="array" ref="G386">_xlfn.XLOOKUP(A386&amp;C386, Лист2!$A$2:$A$505&amp;Лист2!$B$2:$B$505, Лист2!$D$2:$D$505)</f>
        <v>261</v>
      </c>
      <c r="H386" s="18" cm="1">
        <f t="array" ref="H386">_xlfn.XLOOKUP(A386&amp;C386, Лист2!$A$2:$A$505&amp;Лист2!$B$2:$B$505, Лист2!$E$2:$E$505)</f>
        <v>188</v>
      </c>
      <c r="I386" s="16">
        <f t="shared" si="11"/>
        <v>854.5</v>
      </c>
    </row>
    <row r="387" spans="1:9" ht="14.25" customHeight="1" x14ac:dyDescent="0.3">
      <c r="A387" s="8">
        <v>43962</v>
      </c>
      <c r="B387">
        <f t="shared" ref="B387:B450" si="12">WEEKNUM(A387, 2)</f>
        <v>20</v>
      </c>
      <c r="C387" s="9" t="s">
        <v>10</v>
      </c>
      <c r="D387" s="9">
        <v>27187.5</v>
      </c>
      <c r="E387" s="9">
        <v>2479396.5</v>
      </c>
      <c r="F387" s="7" cm="1">
        <f t="array" ref="F387">_xlfn.XLOOKUP(A387&amp;C387, Лист2!$A$2:$A$505&amp;Лист2!$B$2:$B$505, Лист2!$C$2:$C$505)</f>
        <v>21</v>
      </c>
      <c r="G387" s="15" cm="1">
        <f t="array" ref="G387">_xlfn.XLOOKUP(A387&amp;C387, Лист2!$A$2:$A$505&amp;Лист2!$B$2:$B$505, Лист2!$D$2:$D$505)</f>
        <v>1597</v>
      </c>
      <c r="H387" s="18" cm="1">
        <f t="array" ref="H387">_xlfn.XLOOKUP(A387&amp;C387, Лист2!$A$2:$A$505&amp;Лист2!$B$2:$B$505, Лист2!$E$2:$E$505)</f>
        <v>1457</v>
      </c>
      <c r="I387" s="16">
        <f t="shared" ref="I387:I450" si="13">D387/F387</f>
        <v>1294.6428571428571</v>
      </c>
    </row>
    <row r="388" spans="1:9" ht="14.25" customHeight="1" x14ac:dyDescent="0.3">
      <c r="A388" s="5">
        <v>43981</v>
      </c>
      <c r="B388">
        <f t="shared" si="12"/>
        <v>22</v>
      </c>
      <c r="C388" s="6" t="s">
        <v>23</v>
      </c>
      <c r="D388" s="6">
        <v>20688</v>
      </c>
      <c r="E388" s="6">
        <v>1773154.5</v>
      </c>
      <c r="F388" s="7" cm="1">
        <f t="array" ref="F388">_xlfn.XLOOKUP(A388&amp;C388, Лист2!$A$2:$A$505&amp;Лист2!$B$2:$B$505, Лист2!$C$2:$C$505)</f>
        <v>18</v>
      </c>
      <c r="G388" s="15" cm="1">
        <f t="array" ref="G388">_xlfn.XLOOKUP(A388&amp;C388, Лист2!$A$2:$A$505&amp;Лист2!$B$2:$B$505, Лист2!$D$2:$D$505)</f>
        <v>1216</v>
      </c>
      <c r="H388" s="18" cm="1">
        <f t="array" ref="H388">_xlfn.XLOOKUP(A388&amp;C388, Лист2!$A$2:$A$505&amp;Лист2!$B$2:$B$505, Лист2!$E$2:$E$505)</f>
        <v>1101</v>
      </c>
      <c r="I388" s="16">
        <f t="shared" si="13"/>
        <v>1149.3333333333333</v>
      </c>
    </row>
    <row r="389" spans="1:9" ht="14.25" customHeight="1" x14ac:dyDescent="0.3">
      <c r="A389" s="8">
        <v>43979</v>
      </c>
      <c r="B389">
        <f t="shared" si="12"/>
        <v>22</v>
      </c>
      <c r="C389" s="9" t="s">
        <v>23</v>
      </c>
      <c r="D389" s="9">
        <v>15678</v>
      </c>
      <c r="E389" s="9">
        <v>1387443</v>
      </c>
      <c r="F389" s="7" cm="1">
        <f t="array" ref="F389">_xlfn.XLOOKUP(A389&amp;C389, Лист2!$A$2:$A$505&amp;Лист2!$B$2:$B$505, Лист2!$C$2:$C$505)</f>
        <v>18</v>
      </c>
      <c r="G389" s="15" cm="1">
        <f t="array" ref="G389">_xlfn.XLOOKUP(A389&amp;C389, Лист2!$A$2:$A$505&amp;Лист2!$B$2:$B$505, Лист2!$D$2:$D$505)</f>
        <v>1020</v>
      </c>
      <c r="H389" s="18" cm="1">
        <f t="array" ref="H389">_xlfn.XLOOKUP(A389&amp;C389, Лист2!$A$2:$A$505&amp;Лист2!$B$2:$B$505, Лист2!$E$2:$E$505)</f>
        <v>911</v>
      </c>
      <c r="I389" s="16">
        <f t="shared" si="13"/>
        <v>871</v>
      </c>
    </row>
    <row r="390" spans="1:9" ht="14.25" customHeight="1" x14ac:dyDescent="0.3">
      <c r="A390" s="5">
        <v>43969</v>
      </c>
      <c r="B390">
        <f t="shared" si="12"/>
        <v>21</v>
      </c>
      <c r="C390" s="6" t="s">
        <v>10</v>
      </c>
      <c r="D390" s="6">
        <v>31329</v>
      </c>
      <c r="E390" s="6">
        <v>2826379.5</v>
      </c>
      <c r="F390" s="7" cm="1">
        <f t="array" ref="F390">_xlfn.XLOOKUP(A390&amp;C390, Лист2!$A$2:$A$505&amp;Лист2!$B$2:$B$505, Лист2!$C$2:$C$505)</f>
        <v>21</v>
      </c>
      <c r="G390" s="15" cm="1">
        <f t="array" ref="G390">_xlfn.XLOOKUP(A390&amp;C390, Лист2!$A$2:$A$505&amp;Лист2!$B$2:$B$505, Лист2!$D$2:$D$505)</f>
        <v>1834</v>
      </c>
      <c r="H390" s="18" cm="1">
        <f t="array" ref="H390">_xlfn.XLOOKUP(A390&amp;C390, Лист2!$A$2:$A$505&amp;Лист2!$B$2:$B$505, Лист2!$E$2:$E$505)</f>
        <v>1660</v>
      </c>
      <c r="I390" s="16">
        <f t="shared" si="13"/>
        <v>1491.8571428571429</v>
      </c>
    </row>
    <row r="391" spans="1:9" ht="14.25" customHeight="1" x14ac:dyDescent="0.3">
      <c r="A391" s="8">
        <v>43965</v>
      </c>
      <c r="B391">
        <f t="shared" si="12"/>
        <v>20</v>
      </c>
      <c r="C391" s="9" t="s">
        <v>10</v>
      </c>
      <c r="D391" s="9">
        <v>29658</v>
      </c>
      <c r="E391" s="9">
        <v>2703132</v>
      </c>
      <c r="F391" s="7" cm="1">
        <f t="array" ref="F391">_xlfn.XLOOKUP(A391&amp;C391, Лист2!$A$2:$A$505&amp;Лист2!$B$2:$B$505, Лист2!$C$2:$C$505)</f>
        <v>21</v>
      </c>
      <c r="G391" s="15" cm="1">
        <f t="array" ref="G391">_xlfn.XLOOKUP(A391&amp;C391, Лист2!$A$2:$A$505&amp;Лист2!$B$2:$B$505, Лист2!$D$2:$D$505)</f>
        <v>1706</v>
      </c>
      <c r="H391" s="18" cm="1">
        <f t="array" ref="H391">_xlfn.XLOOKUP(A391&amp;C391, Лист2!$A$2:$A$505&amp;Лист2!$B$2:$B$505, Лист2!$E$2:$E$505)</f>
        <v>1548</v>
      </c>
      <c r="I391" s="16">
        <f t="shared" si="13"/>
        <v>1412.2857142857142</v>
      </c>
    </row>
    <row r="392" spans="1:9" ht="14.25" customHeight="1" x14ac:dyDescent="0.3">
      <c r="A392" s="5">
        <v>43966</v>
      </c>
      <c r="B392">
        <f t="shared" si="12"/>
        <v>20</v>
      </c>
      <c r="C392" s="6" t="s">
        <v>10</v>
      </c>
      <c r="D392" s="6">
        <v>34150.5</v>
      </c>
      <c r="E392" s="6">
        <v>3038293.5</v>
      </c>
      <c r="F392" s="7" cm="1">
        <f t="array" ref="F392">_xlfn.XLOOKUP(A392&amp;C392, Лист2!$A$2:$A$505&amp;Лист2!$B$2:$B$505, Лист2!$C$2:$C$505)</f>
        <v>21</v>
      </c>
      <c r="G392" s="15" cm="1">
        <f t="array" ref="G392">_xlfn.XLOOKUP(A392&amp;C392, Лист2!$A$2:$A$505&amp;Лист2!$B$2:$B$505, Лист2!$D$2:$D$505)</f>
        <v>1926</v>
      </c>
      <c r="H392" s="18" cm="1">
        <f t="array" ref="H392">_xlfn.XLOOKUP(A392&amp;C392, Лист2!$A$2:$A$505&amp;Лист2!$B$2:$B$505, Лист2!$E$2:$E$505)</f>
        <v>1742</v>
      </c>
      <c r="I392" s="16">
        <f t="shared" si="13"/>
        <v>1626.2142857142858</v>
      </c>
    </row>
    <row r="393" spans="1:9" ht="14.25" customHeight="1" x14ac:dyDescent="0.3">
      <c r="A393" s="8">
        <v>43983</v>
      </c>
      <c r="B393">
        <f t="shared" si="12"/>
        <v>23</v>
      </c>
      <c r="C393" s="9" t="s">
        <v>10</v>
      </c>
      <c r="D393" s="9">
        <v>31947</v>
      </c>
      <c r="E393" s="9">
        <v>2945035.5</v>
      </c>
      <c r="F393" s="7" cm="1">
        <f t="array" ref="F393">_xlfn.XLOOKUP(A393&amp;C393, Лист2!$A$2:$A$505&amp;Лист2!$B$2:$B$505, Лист2!$C$2:$C$505)</f>
        <v>21</v>
      </c>
      <c r="G393" s="15" cm="1">
        <f t="array" ref="G393">_xlfn.XLOOKUP(A393&amp;C393, Лист2!$A$2:$A$505&amp;Лист2!$B$2:$B$505, Лист2!$D$2:$D$505)</f>
        <v>2025</v>
      </c>
      <c r="H393" s="18" cm="1">
        <f t="array" ref="H393">_xlfn.XLOOKUP(A393&amp;C393, Лист2!$A$2:$A$505&amp;Лист2!$B$2:$B$505, Лист2!$E$2:$E$505)</f>
        <v>1849</v>
      </c>
      <c r="I393" s="16">
        <f t="shared" si="13"/>
        <v>1521.2857142857142</v>
      </c>
    </row>
    <row r="394" spans="1:9" ht="14.25" customHeight="1" x14ac:dyDescent="0.3">
      <c r="A394" s="5">
        <v>43982</v>
      </c>
      <c r="B394">
        <f t="shared" si="12"/>
        <v>22</v>
      </c>
      <c r="C394" s="6" t="s">
        <v>24</v>
      </c>
      <c r="D394" s="6">
        <v>10416</v>
      </c>
      <c r="E394" s="6">
        <v>866023.5</v>
      </c>
      <c r="F394" s="7" cm="1">
        <f t="array" ref="F394">_xlfn.XLOOKUP(A394&amp;C394, Лист2!$A$2:$A$505&amp;Лист2!$B$2:$B$505, Лист2!$C$2:$C$505)</f>
        <v>7</v>
      </c>
      <c r="G394" s="15" cm="1">
        <f t="array" ref="G394">_xlfn.XLOOKUP(A394&amp;C394, Лист2!$A$2:$A$505&amp;Лист2!$B$2:$B$505, Лист2!$D$2:$D$505)</f>
        <v>530</v>
      </c>
      <c r="H394" s="18" cm="1">
        <f t="array" ref="H394">_xlfn.XLOOKUP(A394&amp;C394, Лист2!$A$2:$A$505&amp;Лист2!$B$2:$B$505, Лист2!$E$2:$E$505)</f>
        <v>447</v>
      </c>
      <c r="I394" s="16">
        <f t="shared" si="13"/>
        <v>1488</v>
      </c>
    </row>
    <row r="395" spans="1:9" ht="14.25" customHeight="1" x14ac:dyDescent="0.3">
      <c r="A395" s="8">
        <v>43980</v>
      </c>
      <c r="B395">
        <f t="shared" si="12"/>
        <v>22</v>
      </c>
      <c r="C395" s="9" t="s">
        <v>10</v>
      </c>
      <c r="D395" s="9">
        <v>35431.5</v>
      </c>
      <c r="E395" s="9">
        <v>3193167</v>
      </c>
      <c r="F395" s="7" cm="1">
        <f t="array" ref="F395">_xlfn.XLOOKUP(A395&amp;C395, Лист2!$A$2:$A$505&amp;Лист2!$B$2:$B$505, Лист2!$C$2:$C$505)</f>
        <v>20</v>
      </c>
      <c r="G395" s="15" cm="1">
        <f t="array" ref="G395">_xlfn.XLOOKUP(A395&amp;C395, Лист2!$A$2:$A$505&amp;Лист2!$B$2:$B$505, Лист2!$D$2:$D$505)</f>
        <v>2111</v>
      </c>
      <c r="H395" s="18" cm="1">
        <f t="array" ref="H395">_xlfn.XLOOKUP(A395&amp;C395, Лист2!$A$2:$A$505&amp;Лист2!$B$2:$B$505, Лист2!$E$2:$E$505)</f>
        <v>1917</v>
      </c>
      <c r="I395" s="16">
        <f t="shared" si="13"/>
        <v>1771.575</v>
      </c>
    </row>
    <row r="396" spans="1:9" ht="14.25" customHeight="1" x14ac:dyDescent="0.3">
      <c r="A396" s="5">
        <v>43978</v>
      </c>
      <c r="B396">
        <f t="shared" si="12"/>
        <v>22</v>
      </c>
      <c r="C396" s="6" t="s">
        <v>11</v>
      </c>
      <c r="D396" s="6">
        <v>78544.5</v>
      </c>
      <c r="E396" s="6">
        <v>6701083.5</v>
      </c>
      <c r="F396" s="7" cm="1">
        <f t="array" ref="F396">_xlfn.XLOOKUP(A396&amp;C396, Лист2!$A$2:$A$505&amp;Лист2!$B$2:$B$505, Лист2!$C$2:$C$505)</f>
        <v>31</v>
      </c>
      <c r="G396" s="15" cm="1">
        <f t="array" ref="G396">_xlfn.XLOOKUP(A396&amp;C396, Лист2!$A$2:$A$505&amp;Лист2!$B$2:$B$505, Лист2!$D$2:$D$505)</f>
        <v>5330</v>
      </c>
      <c r="H396" s="18" cm="1">
        <f t="array" ref="H396">_xlfn.XLOOKUP(A396&amp;C396, Лист2!$A$2:$A$505&amp;Лист2!$B$2:$B$505, Лист2!$E$2:$E$505)</f>
        <v>4977</v>
      </c>
      <c r="I396" s="16">
        <f t="shared" si="13"/>
        <v>2533.6935483870966</v>
      </c>
    </row>
    <row r="397" spans="1:9" ht="14.25" customHeight="1" x14ac:dyDescent="0.3">
      <c r="A397" s="8">
        <v>43973</v>
      </c>
      <c r="B397">
        <f t="shared" si="12"/>
        <v>21</v>
      </c>
      <c r="C397" s="9" t="s">
        <v>11</v>
      </c>
      <c r="D397" s="9">
        <v>97963.5</v>
      </c>
      <c r="E397" s="9">
        <v>7728465</v>
      </c>
      <c r="F397" s="7" cm="1">
        <f t="array" ref="F397">_xlfn.XLOOKUP(A397&amp;C397, Лист2!$A$2:$A$505&amp;Лист2!$B$2:$B$505, Лист2!$C$2:$C$505)</f>
        <v>31</v>
      </c>
      <c r="G397" s="15" cm="1">
        <f t="array" ref="G397">_xlfn.XLOOKUP(A397&amp;C397, Лист2!$A$2:$A$505&amp;Лист2!$B$2:$B$505, Лист2!$D$2:$D$505)</f>
        <v>5965</v>
      </c>
      <c r="H397" s="18" cm="1">
        <f t="array" ref="H397">_xlfn.XLOOKUP(A397&amp;C397, Лист2!$A$2:$A$505&amp;Лист2!$B$2:$B$505, Лист2!$E$2:$E$505)</f>
        <v>5533</v>
      </c>
      <c r="I397" s="16">
        <f t="shared" si="13"/>
        <v>3160.1129032258063</v>
      </c>
    </row>
    <row r="398" spans="1:9" ht="14.25" customHeight="1" x14ac:dyDescent="0.3">
      <c r="A398" s="5">
        <v>43983</v>
      </c>
      <c r="B398">
        <f t="shared" si="12"/>
        <v>23</v>
      </c>
      <c r="C398" s="6" t="s">
        <v>11</v>
      </c>
      <c r="D398" s="6">
        <v>77269.5</v>
      </c>
      <c r="E398" s="6">
        <v>6829921.5</v>
      </c>
      <c r="F398" s="7" cm="1">
        <f t="array" ref="F398">_xlfn.XLOOKUP(A398&amp;C398, Лист2!$A$2:$A$505&amp;Лист2!$B$2:$B$505, Лист2!$C$2:$C$505)</f>
        <v>31</v>
      </c>
      <c r="G398" s="15" cm="1">
        <f t="array" ref="G398">_xlfn.XLOOKUP(A398&amp;C398, Лист2!$A$2:$A$505&amp;Лист2!$B$2:$B$505, Лист2!$D$2:$D$505)</f>
        <v>5468</v>
      </c>
      <c r="H398" s="18" cm="1">
        <f t="array" ref="H398">_xlfn.XLOOKUP(A398&amp;C398, Лист2!$A$2:$A$505&amp;Лист2!$B$2:$B$505, Лист2!$E$2:$E$505)</f>
        <v>5081</v>
      </c>
      <c r="I398" s="16">
        <f t="shared" si="13"/>
        <v>2492.5645161290322</v>
      </c>
    </row>
    <row r="399" spans="1:9" ht="14.25" customHeight="1" x14ac:dyDescent="0.3">
      <c r="A399" s="8">
        <v>43982</v>
      </c>
      <c r="B399">
        <f t="shared" si="12"/>
        <v>22</v>
      </c>
      <c r="C399" s="9" t="s">
        <v>23</v>
      </c>
      <c r="D399" s="9">
        <v>16143</v>
      </c>
      <c r="E399" s="9">
        <v>1423410</v>
      </c>
      <c r="F399" s="7" cm="1">
        <f t="array" ref="F399">_xlfn.XLOOKUP(A399&amp;C399, Лист2!$A$2:$A$505&amp;Лист2!$B$2:$B$505, Лист2!$C$2:$C$505)</f>
        <v>18</v>
      </c>
      <c r="G399" s="15" cm="1">
        <f t="array" ref="G399">_xlfn.XLOOKUP(A399&amp;C399, Лист2!$A$2:$A$505&amp;Лист2!$B$2:$B$505, Лист2!$D$2:$D$505)</f>
        <v>1029</v>
      </c>
      <c r="H399" s="18" cm="1">
        <f t="array" ref="H399">_xlfn.XLOOKUP(A399&amp;C399, Лист2!$A$2:$A$505&amp;Лист2!$B$2:$B$505, Лист2!$E$2:$E$505)</f>
        <v>925</v>
      </c>
      <c r="I399" s="16">
        <f t="shared" si="13"/>
        <v>896.83333333333337</v>
      </c>
    </row>
    <row r="400" spans="1:9" ht="14.25" customHeight="1" x14ac:dyDescent="0.3">
      <c r="A400" s="5">
        <v>43962</v>
      </c>
      <c r="B400">
        <f t="shared" si="12"/>
        <v>20</v>
      </c>
      <c r="C400" s="6" t="s">
        <v>11</v>
      </c>
      <c r="D400" s="6">
        <v>72220.5</v>
      </c>
      <c r="E400" s="6">
        <v>6398719.5</v>
      </c>
      <c r="F400" s="7" cm="1">
        <f t="array" ref="F400">_xlfn.XLOOKUP(A400&amp;C400, Лист2!$A$2:$A$505&amp;Лист2!$B$2:$B$505, Лист2!$C$2:$C$505)</f>
        <v>31</v>
      </c>
      <c r="G400" s="15" cm="1">
        <f t="array" ref="G400">_xlfn.XLOOKUP(A400&amp;C400, Лист2!$A$2:$A$505&amp;Лист2!$B$2:$B$505, Лист2!$D$2:$D$505)</f>
        <v>4826</v>
      </c>
      <c r="H400" s="18" cm="1">
        <f t="array" ref="H400">_xlfn.XLOOKUP(A400&amp;C400, Лист2!$A$2:$A$505&amp;Лист2!$B$2:$B$505, Лист2!$E$2:$E$505)</f>
        <v>4483</v>
      </c>
      <c r="I400" s="16">
        <f t="shared" si="13"/>
        <v>2329.6935483870966</v>
      </c>
    </row>
    <row r="401" spans="1:9" ht="14.25" customHeight="1" x14ac:dyDescent="0.3">
      <c r="A401" s="8">
        <v>43969</v>
      </c>
      <c r="B401">
        <f t="shared" si="12"/>
        <v>21</v>
      </c>
      <c r="C401" s="9" t="s">
        <v>11</v>
      </c>
      <c r="D401" s="9">
        <v>78058.5</v>
      </c>
      <c r="E401" s="9">
        <v>6609714</v>
      </c>
      <c r="F401" s="7" cm="1">
        <f t="array" ref="F401">_xlfn.XLOOKUP(A401&amp;C401, Лист2!$A$2:$A$505&amp;Лист2!$B$2:$B$505, Лист2!$C$2:$C$505)</f>
        <v>31</v>
      </c>
      <c r="G401" s="15" cm="1">
        <f t="array" ref="G401">_xlfn.XLOOKUP(A401&amp;C401, Лист2!$A$2:$A$505&amp;Лист2!$B$2:$B$505, Лист2!$D$2:$D$505)</f>
        <v>5165</v>
      </c>
      <c r="H401" s="18" cm="1">
        <f t="array" ref="H401">_xlfn.XLOOKUP(A401&amp;C401, Лист2!$A$2:$A$505&amp;Лист2!$B$2:$B$505, Лист2!$E$2:$E$505)</f>
        <v>4813</v>
      </c>
      <c r="I401" s="16">
        <f t="shared" si="13"/>
        <v>2518.016129032258</v>
      </c>
    </row>
    <row r="402" spans="1:9" ht="14.25" customHeight="1" x14ac:dyDescent="0.3">
      <c r="A402" s="5">
        <v>43965</v>
      </c>
      <c r="B402">
        <f t="shared" si="12"/>
        <v>20</v>
      </c>
      <c r="C402" s="6" t="s">
        <v>11</v>
      </c>
      <c r="D402" s="6">
        <v>70498.5</v>
      </c>
      <c r="E402" s="6">
        <v>6053649</v>
      </c>
      <c r="F402" s="7" cm="1">
        <f t="array" ref="F402">_xlfn.XLOOKUP(A402&amp;C402, Лист2!$A$2:$A$505&amp;Лист2!$B$2:$B$505, Лист2!$C$2:$C$505)</f>
        <v>31</v>
      </c>
      <c r="G402" s="15" cm="1">
        <f t="array" ref="G402">_xlfn.XLOOKUP(A402&amp;C402, Лист2!$A$2:$A$505&amp;Лист2!$B$2:$B$505, Лист2!$D$2:$D$505)</f>
        <v>4695</v>
      </c>
      <c r="H402" s="18" cm="1">
        <f t="array" ref="H402">_xlfn.XLOOKUP(A402&amp;C402, Лист2!$A$2:$A$505&amp;Лист2!$B$2:$B$505, Лист2!$E$2:$E$505)</f>
        <v>4372</v>
      </c>
      <c r="I402" s="16">
        <f t="shared" si="13"/>
        <v>2274.1451612903224</v>
      </c>
    </row>
    <row r="403" spans="1:9" ht="14.25" customHeight="1" x14ac:dyDescent="0.3">
      <c r="A403" s="8">
        <v>43966</v>
      </c>
      <c r="B403">
        <f t="shared" si="12"/>
        <v>20</v>
      </c>
      <c r="C403" s="9" t="s">
        <v>11</v>
      </c>
      <c r="D403" s="9">
        <v>78961.5</v>
      </c>
      <c r="E403" s="9">
        <v>6876454.5</v>
      </c>
      <c r="F403" s="7" cm="1">
        <f t="array" ref="F403">_xlfn.XLOOKUP(A403&amp;C403, Лист2!$A$2:$A$505&amp;Лист2!$B$2:$B$505, Лист2!$C$2:$C$505)</f>
        <v>31</v>
      </c>
      <c r="G403" s="15" cm="1">
        <f t="array" ref="G403">_xlfn.XLOOKUP(A403&amp;C403, Лист2!$A$2:$A$505&amp;Лист2!$B$2:$B$505, Лист2!$D$2:$D$505)</f>
        <v>5184</v>
      </c>
      <c r="H403" s="18" cm="1">
        <f t="array" ref="H403">_xlfn.XLOOKUP(A403&amp;C403, Лист2!$A$2:$A$505&amp;Лист2!$B$2:$B$505, Лист2!$E$2:$E$505)</f>
        <v>4778</v>
      </c>
      <c r="I403" s="16">
        <f t="shared" si="13"/>
        <v>2547.1451612903224</v>
      </c>
    </row>
    <row r="404" spans="1:9" ht="14.25" customHeight="1" x14ac:dyDescent="0.3">
      <c r="A404" s="5">
        <v>43978</v>
      </c>
      <c r="B404">
        <f t="shared" si="12"/>
        <v>22</v>
      </c>
      <c r="C404" s="6" t="s">
        <v>12</v>
      </c>
      <c r="D404" s="6">
        <v>12490.5</v>
      </c>
      <c r="E404" s="6">
        <v>1054798.5</v>
      </c>
      <c r="F404" s="7" cm="1">
        <f t="array" ref="F404">_xlfn.XLOOKUP(A404&amp;C404, Лист2!$A$2:$A$505&amp;Лист2!$B$2:$B$505, Лист2!$C$2:$C$505)</f>
        <v>10</v>
      </c>
      <c r="G404" s="15" cm="1">
        <f t="array" ref="G404">_xlfn.XLOOKUP(A404&amp;C404, Лист2!$A$2:$A$505&amp;Лист2!$B$2:$B$505, Лист2!$D$2:$D$505)</f>
        <v>757</v>
      </c>
      <c r="H404" s="18" cm="1">
        <f t="array" ref="H404">_xlfn.XLOOKUP(A404&amp;C404, Лист2!$A$2:$A$505&amp;Лист2!$B$2:$B$505, Лист2!$E$2:$E$505)</f>
        <v>660</v>
      </c>
      <c r="I404" s="16">
        <f t="shared" si="13"/>
        <v>1249.05</v>
      </c>
    </row>
    <row r="405" spans="1:9" ht="14.25" customHeight="1" x14ac:dyDescent="0.3">
      <c r="A405" s="8">
        <v>43973</v>
      </c>
      <c r="B405">
        <f t="shared" si="12"/>
        <v>21</v>
      </c>
      <c r="C405" s="9" t="s">
        <v>12</v>
      </c>
      <c r="D405" s="9">
        <v>18036</v>
      </c>
      <c r="E405" s="9">
        <v>1455049.5</v>
      </c>
      <c r="F405" s="7" cm="1">
        <f t="array" ref="F405">_xlfn.XLOOKUP(A405&amp;C405, Лист2!$A$2:$A$505&amp;Лист2!$B$2:$B$505, Лист2!$C$2:$C$505)</f>
        <v>10</v>
      </c>
      <c r="G405" s="15" cm="1">
        <f t="array" ref="G405">_xlfn.XLOOKUP(A405&amp;C405, Лист2!$A$2:$A$505&amp;Лист2!$B$2:$B$505, Лист2!$D$2:$D$505)</f>
        <v>965</v>
      </c>
      <c r="H405" s="18" cm="1">
        <f t="array" ref="H405">_xlfn.XLOOKUP(A405&amp;C405, Лист2!$A$2:$A$505&amp;Лист2!$B$2:$B$505, Лист2!$E$2:$E$505)</f>
        <v>861</v>
      </c>
      <c r="I405" s="16">
        <f t="shared" si="13"/>
        <v>1803.6</v>
      </c>
    </row>
    <row r="406" spans="1:9" ht="14.25" customHeight="1" x14ac:dyDescent="0.3">
      <c r="A406" s="5">
        <v>43983</v>
      </c>
      <c r="B406">
        <f t="shared" si="12"/>
        <v>23</v>
      </c>
      <c r="C406" s="6" t="s">
        <v>12</v>
      </c>
      <c r="D406" s="6">
        <v>11416.5</v>
      </c>
      <c r="E406" s="6">
        <v>1007742</v>
      </c>
      <c r="F406" s="7" cm="1">
        <f t="array" ref="F406">_xlfn.XLOOKUP(A406&amp;C406, Лист2!$A$2:$A$505&amp;Лист2!$B$2:$B$505, Лист2!$C$2:$C$505)</f>
        <v>10</v>
      </c>
      <c r="G406" s="15" cm="1">
        <f t="array" ref="G406">_xlfn.XLOOKUP(A406&amp;C406, Лист2!$A$2:$A$505&amp;Лист2!$B$2:$B$505, Лист2!$D$2:$D$505)</f>
        <v>719</v>
      </c>
      <c r="H406" s="18" cm="1">
        <f t="array" ref="H406">_xlfn.XLOOKUP(A406&amp;C406, Лист2!$A$2:$A$505&amp;Лист2!$B$2:$B$505, Лист2!$E$2:$E$505)</f>
        <v>627</v>
      </c>
      <c r="I406" s="16">
        <f t="shared" si="13"/>
        <v>1141.6500000000001</v>
      </c>
    </row>
    <row r="407" spans="1:9" ht="14.25" customHeight="1" x14ac:dyDescent="0.3">
      <c r="A407" s="8">
        <v>43962</v>
      </c>
      <c r="B407">
        <f t="shared" si="12"/>
        <v>20</v>
      </c>
      <c r="C407" s="9" t="s">
        <v>12</v>
      </c>
      <c r="D407" s="9">
        <v>9007.5</v>
      </c>
      <c r="E407" s="9">
        <v>734335.5</v>
      </c>
      <c r="F407" s="7" cm="1">
        <f t="array" ref="F407">_xlfn.XLOOKUP(A407&amp;C407, Лист2!$A$2:$A$505&amp;Лист2!$B$2:$B$505, Лист2!$C$2:$C$505)</f>
        <v>10</v>
      </c>
      <c r="G407" s="15" cm="1">
        <f t="array" ref="G407">_xlfn.XLOOKUP(A407&amp;C407, Лист2!$A$2:$A$505&amp;Лист2!$B$2:$B$505, Лист2!$D$2:$D$505)</f>
        <v>494</v>
      </c>
      <c r="H407" s="18" cm="1">
        <f t="array" ref="H407">_xlfn.XLOOKUP(A407&amp;C407, Лист2!$A$2:$A$505&amp;Лист2!$B$2:$B$505, Лист2!$E$2:$E$505)</f>
        <v>421</v>
      </c>
      <c r="I407" s="16">
        <f t="shared" si="13"/>
        <v>900.75</v>
      </c>
    </row>
    <row r="408" spans="1:9" ht="14.25" customHeight="1" x14ac:dyDescent="0.3">
      <c r="A408" s="5">
        <v>43980</v>
      </c>
      <c r="B408">
        <f t="shared" si="12"/>
        <v>22</v>
      </c>
      <c r="C408" s="6" t="s">
        <v>11</v>
      </c>
      <c r="D408" s="6">
        <v>87552</v>
      </c>
      <c r="E408" s="6">
        <v>7387116</v>
      </c>
      <c r="F408" s="7" cm="1">
        <f t="array" ref="F408">_xlfn.XLOOKUP(A408&amp;C408, Лист2!$A$2:$A$505&amp;Лист2!$B$2:$B$505, Лист2!$C$2:$C$505)</f>
        <v>31</v>
      </c>
      <c r="G408" s="15" cm="1">
        <f t="array" ref="G408">_xlfn.XLOOKUP(A408&amp;C408, Лист2!$A$2:$A$505&amp;Лист2!$B$2:$B$505, Лист2!$D$2:$D$505)</f>
        <v>5751</v>
      </c>
      <c r="H408" s="18" cm="1">
        <f t="array" ref="H408">_xlfn.XLOOKUP(A408&amp;C408, Лист2!$A$2:$A$505&amp;Лист2!$B$2:$B$505, Лист2!$E$2:$E$505)</f>
        <v>5319</v>
      </c>
      <c r="I408" s="16">
        <f t="shared" si="13"/>
        <v>2824.2580645161293</v>
      </c>
    </row>
    <row r="409" spans="1:9" ht="14.25" customHeight="1" x14ac:dyDescent="0.3">
      <c r="A409" s="8">
        <v>43969</v>
      </c>
      <c r="B409">
        <f t="shared" si="12"/>
        <v>21</v>
      </c>
      <c r="C409" s="9" t="s">
        <v>12</v>
      </c>
      <c r="D409" s="9">
        <v>11680.5</v>
      </c>
      <c r="E409" s="9">
        <v>936427.5</v>
      </c>
      <c r="F409" s="7" cm="1">
        <f t="array" ref="F409">_xlfn.XLOOKUP(A409&amp;C409, Лист2!$A$2:$A$505&amp;Лист2!$B$2:$B$505, Лист2!$C$2:$C$505)</f>
        <v>10</v>
      </c>
      <c r="G409" s="15" cm="1">
        <f t="array" ref="G409">_xlfn.XLOOKUP(A409&amp;C409, Лист2!$A$2:$A$505&amp;Лист2!$B$2:$B$505, Лист2!$D$2:$D$505)</f>
        <v>645</v>
      </c>
      <c r="H409" s="18" cm="1">
        <f t="array" ref="H409">_xlfn.XLOOKUP(A409&amp;C409, Лист2!$A$2:$A$505&amp;Лист2!$B$2:$B$505, Лист2!$E$2:$E$505)</f>
        <v>565</v>
      </c>
      <c r="I409" s="16">
        <f t="shared" si="13"/>
        <v>1168.05</v>
      </c>
    </row>
    <row r="410" spans="1:9" ht="14.25" customHeight="1" x14ac:dyDescent="0.3">
      <c r="A410" s="5">
        <v>43965</v>
      </c>
      <c r="B410">
        <f t="shared" si="12"/>
        <v>20</v>
      </c>
      <c r="C410" s="6" t="s">
        <v>12</v>
      </c>
      <c r="D410" s="6">
        <v>12037.5</v>
      </c>
      <c r="E410" s="6">
        <v>981564</v>
      </c>
      <c r="F410" s="7" cm="1">
        <f t="array" ref="F410">_xlfn.XLOOKUP(A410&amp;C410, Лист2!$A$2:$A$505&amp;Лист2!$B$2:$B$505, Лист2!$C$2:$C$505)</f>
        <v>10</v>
      </c>
      <c r="G410" s="15" cm="1">
        <f t="array" ref="G410">_xlfn.XLOOKUP(A410&amp;C410, Лист2!$A$2:$A$505&amp;Лист2!$B$2:$B$505, Лист2!$D$2:$D$505)</f>
        <v>627</v>
      </c>
      <c r="H410" s="18" cm="1">
        <f t="array" ref="H410">_xlfn.XLOOKUP(A410&amp;C410, Лист2!$A$2:$A$505&amp;Лист2!$B$2:$B$505, Лист2!$E$2:$E$505)</f>
        <v>545</v>
      </c>
      <c r="I410" s="16">
        <f t="shared" si="13"/>
        <v>1203.75</v>
      </c>
    </row>
    <row r="411" spans="1:9" ht="14.25" customHeight="1" x14ac:dyDescent="0.3">
      <c r="A411" s="8">
        <v>43966</v>
      </c>
      <c r="B411">
        <f t="shared" si="12"/>
        <v>20</v>
      </c>
      <c r="C411" s="9" t="s">
        <v>12</v>
      </c>
      <c r="D411" s="9">
        <v>14421</v>
      </c>
      <c r="E411" s="9">
        <v>1150579.5</v>
      </c>
      <c r="F411" s="7" cm="1">
        <f t="array" ref="F411">_xlfn.XLOOKUP(A411&amp;C411, Лист2!$A$2:$A$505&amp;Лист2!$B$2:$B$505, Лист2!$C$2:$C$505)</f>
        <v>10</v>
      </c>
      <c r="G411" s="15" cm="1">
        <f t="array" ref="G411">_xlfn.XLOOKUP(A411&amp;C411, Лист2!$A$2:$A$505&amp;Лист2!$B$2:$B$505, Лист2!$D$2:$D$505)</f>
        <v>743</v>
      </c>
      <c r="H411" s="18" cm="1">
        <f t="array" ref="H411">_xlfn.XLOOKUP(A411&amp;C411, Лист2!$A$2:$A$505&amp;Лист2!$B$2:$B$505, Лист2!$E$2:$E$505)</f>
        <v>652</v>
      </c>
      <c r="I411" s="16">
        <f t="shared" si="13"/>
        <v>1442.1</v>
      </c>
    </row>
    <row r="412" spans="1:9" ht="14.25" customHeight="1" x14ac:dyDescent="0.3">
      <c r="A412" s="5">
        <v>43980</v>
      </c>
      <c r="B412">
        <f t="shared" si="12"/>
        <v>22</v>
      </c>
      <c r="C412" s="6" t="s">
        <v>12</v>
      </c>
      <c r="D412" s="6">
        <v>14823</v>
      </c>
      <c r="E412" s="6">
        <v>1273464</v>
      </c>
      <c r="F412" s="7" cm="1">
        <f t="array" ref="F412">_xlfn.XLOOKUP(A412&amp;C412, Лист2!$A$2:$A$505&amp;Лист2!$B$2:$B$505, Лист2!$C$2:$C$505)</f>
        <v>10</v>
      </c>
      <c r="G412" s="15" cm="1">
        <f t="array" ref="G412">_xlfn.XLOOKUP(A412&amp;C412, Лист2!$A$2:$A$505&amp;Лист2!$B$2:$B$505, Лист2!$D$2:$D$505)</f>
        <v>873</v>
      </c>
      <c r="H412" s="18" cm="1">
        <f t="array" ref="H412">_xlfn.XLOOKUP(A412&amp;C412, Лист2!$A$2:$A$505&amp;Лист2!$B$2:$B$505, Лист2!$E$2:$E$505)</f>
        <v>770</v>
      </c>
      <c r="I412" s="16">
        <f t="shared" si="13"/>
        <v>1482.3</v>
      </c>
    </row>
    <row r="413" spans="1:9" ht="14.25" customHeight="1" x14ac:dyDescent="0.3">
      <c r="A413" s="8">
        <v>43978</v>
      </c>
      <c r="B413">
        <f t="shared" si="12"/>
        <v>22</v>
      </c>
      <c r="C413" s="9" t="s">
        <v>13</v>
      </c>
      <c r="D413" s="9">
        <v>31257</v>
      </c>
      <c r="E413" s="9">
        <v>2924133</v>
      </c>
      <c r="F413" s="7" cm="1">
        <f t="array" ref="F413">_xlfn.XLOOKUP(A413&amp;C413, Лист2!$A$2:$A$505&amp;Лист2!$B$2:$B$505, Лист2!$C$2:$C$505)</f>
        <v>20</v>
      </c>
      <c r="G413" s="15" cm="1">
        <f t="array" ref="G413">_xlfn.XLOOKUP(A413&amp;C413, Лист2!$A$2:$A$505&amp;Лист2!$B$2:$B$505, Лист2!$D$2:$D$505)</f>
        <v>2079</v>
      </c>
      <c r="H413" s="18" cm="1">
        <f t="array" ref="H413">_xlfn.XLOOKUP(A413&amp;C413, Лист2!$A$2:$A$505&amp;Лист2!$B$2:$B$505, Лист2!$E$2:$E$505)</f>
        <v>1856</v>
      </c>
      <c r="I413" s="16">
        <f t="shared" si="13"/>
        <v>1562.85</v>
      </c>
    </row>
    <row r="414" spans="1:9" ht="14.25" customHeight="1" x14ac:dyDescent="0.3">
      <c r="A414" s="5">
        <v>43973</v>
      </c>
      <c r="B414">
        <f t="shared" si="12"/>
        <v>21</v>
      </c>
      <c r="C414" s="6" t="s">
        <v>13</v>
      </c>
      <c r="D414" s="6">
        <v>38074.5</v>
      </c>
      <c r="E414" s="6">
        <v>3414180</v>
      </c>
      <c r="F414" s="7" cm="1">
        <f t="array" ref="F414">_xlfn.XLOOKUP(A414&amp;C414, Лист2!$A$2:$A$505&amp;Лист2!$B$2:$B$505, Лист2!$C$2:$C$505)</f>
        <v>20</v>
      </c>
      <c r="G414" s="15" cm="1">
        <f t="array" ref="G414">_xlfn.XLOOKUP(A414&amp;C414, Лист2!$A$2:$A$505&amp;Лист2!$B$2:$B$505, Лист2!$D$2:$D$505)</f>
        <v>2306</v>
      </c>
      <c r="H414" s="18" cm="1">
        <f t="array" ref="H414">_xlfn.XLOOKUP(A414&amp;C414, Лист2!$A$2:$A$505&amp;Лист2!$B$2:$B$505, Лист2!$E$2:$E$505)</f>
        <v>2054</v>
      </c>
      <c r="I414" s="16">
        <f t="shared" si="13"/>
        <v>1903.7249999999999</v>
      </c>
    </row>
    <row r="415" spans="1:9" ht="14.25" customHeight="1" x14ac:dyDescent="0.3">
      <c r="A415" s="8">
        <v>43983</v>
      </c>
      <c r="B415">
        <f t="shared" si="12"/>
        <v>23</v>
      </c>
      <c r="C415" s="9" t="s">
        <v>13</v>
      </c>
      <c r="D415" s="9">
        <v>32170.5</v>
      </c>
      <c r="E415" s="9">
        <v>3013512</v>
      </c>
      <c r="F415" s="7" cm="1">
        <f t="array" ref="F415">_xlfn.XLOOKUP(A415&amp;C415, Лист2!$A$2:$A$505&amp;Лист2!$B$2:$B$505, Лист2!$C$2:$C$505)</f>
        <v>20</v>
      </c>
      <c r="G415" s="15" cm="1">
        <f t="array" ref="G415">_xlfn.XLOOKUP(A415&amp;C415, Лист2!$A$2:$A$505&amp;Лист2!$B$2:$B$505, Лист2!$D$2:$D$505)</f>
        <v>2136</v>
      </c>
      <c r="H415" s="18" cm="1">
        <f t="array" ref="H415">_xlfn.XLOOKUP(A415&amp;C415, Лист2!$A$2:$A$505&amp;Лист2!$B$2:$B$505, Лист2!$E$2:$E$505)</f>
        <v>1899</v>
      </c>
      <c r="I415" s="16">
        <f t="shared" si="13"/>
        <v>1608.5250000000001</v>
      </c>
    </row>
    <row r="416" spans="1:9" ht="14.25" customHeight="1" x14ac:dyDescent="0.3">
      <c r="A416" s="5">
        <v>43962</v>
      </c>
      <c r="B416">
        <f t="shared" si="12"/>
        <v>20</v>
      </c>
      <c r="C416" s="6" t="s">
        <v>13</v>
      </c>
      <c r="D416" s="6">
        <v>42397.5</v>
      </c>
      <c r="E416" s="6">
        <v>3911979</v>
      </c>
      <c r="F416" s="7" cm="1">
        <f t="array" ref="F416">_xlfn.XLOOKUP(A416&amp;C416, Лист2!$A$2:$A$505&amp;Лист2!$B$2:$B$505, Лист2!$C$2:$C$505)</f>
        <v>19</v>
      </c>
      <c r="G416" s="15" cm="1">
        <f t="array" ref="G416">_xlfn.XLOOKUP(A416&amp;C416, Лист2!$A$2:$A$505&amp;Лист2!$B$2:$B$505, Лист2!$D$2:$D$505)</f>
        <v>2530</v>
      </c>
      <c r="H416" s="18" cm="1">
        <f t="array" ref="H416">_xlfn.XLOOKUP(A416&amp;C416, Лист2!$A$2:$A$505&amp;Лист2!$B$2:$B$505, Лист2!$E$2:$E$505)</f>
        <v>2270</v>
      </c>
      <c r="I416" s="16">
        <f t="shared" si="13"/>
        <v>2231.4473684210525</v>
      </c>
    </row>
    <row r="417" spans="1:9" ht="14.25" customHeight="1" x14ac:dyDescent="0.3">
      <c r="A417" s="8">
        <v>43969</v>
      </c>
      <c r="B417">
        <f t="shared" si="12"/>
        <v>21</v>
      </c>
      <c r="C417" s="9" t="s">
        <v>13</v>
      </c>
      <c r="D417" s="9">
        <v>28668</v>
      </c>
      <c r="E417" s="9">
        <v>2588148</v>
      </c>
      <c r="F417" s="7" cm="1">
        <f t="array" ref="F417">_xlfn.XLOOKUP(A417&amp;C417, Лист2!$A$2:$A$505&amp;Лист2!$B$2:$B$505, Лист2!$C$2:$C$505)</f>
        <v>19</v>
      </c>
      <c r="G417" s="15" cm="1">
        <f t="array" ref="G417">_xlfn.XLOOKUP(A417&amp;C417, Лист2!$A$2:$A$505&amp;Лист2!$B$2:$B$505, Лист2!$D$2:$D$505)</f>
        <v>1858</v>
      </c>
      <c r="H417" s="18" cm="1">
        <f t="array" ref="H417">_xlfn.XLOOKUP(A417&amp;C417, Лист2!$A$2:$A$505&amp;Лист2!$B$2:$B$505, Лист2!$E$2:$E$505)</f>
        <v>1648</v>
      </c>
      <c r="I417" s="16">
        <f t="shared" si="13"/>
        <v>1508.8421052631579</v>
      </c>
    </row>
    <row r="418" spans="1:9" ht="14.25" customHeight="1" x14ac:dyDescent="0.3">
      <c r="A418" s="5">
        <v>43965</v>
      </c>
      <c r="B418">
        <f t="shared" si="12"/>
        <v>20</v>
      </c>
      <c r="C418" s="6" t="s">
        <v>13</v>
      </c>
      <c r="D418" s="6">
        <v>27411</v>
      </c>
      <c r="E418" s="6">
        <v>2441520</v>
      </c>
      <c r="F418" s="7" cm="1">
        <f t="array" ref="F418">_xlfn.XLOOKUP(A418&amp;C418, Лист2!$A$2:$A$505&amp;Лист2!$B$2:$B$505, Лист2!$C$2:$C$505)</f>
        <v>19</v>
      </c>
      <c r="G418" s="15" cm="1">
        <f t="array" ref="G418">_xlfn.XLOOKUP(A418&amp;C418, Лист2!$A$2:$A$505&amp;Лист2!$B$2:$B$505, Лист2!$D$2:$D$505)</f>
        <v>1675</v>
      </c>
      <c r="H418" s="18" cm="1">
        <f t="array" ref="H418">_xlfn.XLOOKUP(A418&amp;C418, Лист2!$A$2:$A$505&amp;Лист2!$B$2:$B$505, Лист2!$E$2:$E$505)</f>
        <v>1475</v>
      </c>
      <c r="I418" s="16">
        <f t="shared" si="13"/>
        <v>1442.6842105263158</v>
      </c>
    </row>
    <row r="419" spans="1:9" ht="14.25" customHeight="1" x14ac:dyDescent="0.3">
      <c r="A419" s="8">
        <v>43966</v>
      </c>
      <c r="B419">
        <f t="shared" si="12"/>
        <v>20</v>
      </c>
      <c r="C419" s="9" t="s">
        <v>13</v>
      </c>
      <c r="D419" s="9">
        <v>32854.5</v>
      </c>
      <c r="E419" s="9">
        <v>2949078</v>
      </c>
      <c r="F419" s="7" cm="1">
        <f t="array" ref="F419">_xlfn.XLOOKUP(A419&amp;C419, Лист2!$A$2:$A$505&amp;Лист2!$B$2:$B$505, Лист2!$C$2:$C$505)</f>
        <v>19</v>
      </c>
      <c r="G419" s="15" cm="1">
        <f t="array" ref="G419">_xlfn.XLOOKUP(A419&amp;C419, Лист2!$A$2:$A$505&amp;Лист2!$B$2:$B$505, Лист2!$D$2:$D$505)</f>
        <v>1940</v>
      </c>
      <c r="H419" s="18" cm="1">
        <f t="array" ref="H419">_xlfn.XLOOKUP(A419&amp;C419, Лист2!$A$2:$A$505&amp;Лист2!$B$2:$B$505, Лист2!$E$2:$E$505)</f>
        <v>1715</v>
      </c>
      <c r="I419" s="16">
        <f t="shared" si="13"/>
        <v>1729.1842105263158</v>
      </c>
    </row>
    <row r="420" spans="1:9" ht="14.25" customHeight="1" x14ac:dyDescent="0.3">
      <c r="A420" s="5">
        <v>43980</v>
      </c>
      <c r="B420">
        <f t="shared" si="12"/>
        <v>22</v>
      </c>
      <c r="C420" s="6" t="s">
        <v>13</v>
      </c>
      <c r="D420" s="6">
        <v>35346</v>
      </c>
      <c r="E420" s="6">
        <v>3258054</v>
      </c>
      <c r="F420" s="7" cm="1">
        <f t="array" ref="F420">_xlfn.XLOOKUP(A420&amp;C420, Лист2!$A$2:$A$505&amp;Лист2!$B$2:$B$505, Лист2!$C$2:$C$505)</f>
        <v>20</v>
      </c>
      <c r="G420" s="15" cm="1">
        <f t="array" ref="G420">_xlfn.XLOOKUP(A420&amp;C420, Лист2!$A$2:$A$505&amp;Лист2!$B$2:$B$505, Лист2!$D$2:$D$505)</f>
        <v>2249</v>
      </c>
      <c r="H420" s="18" cm="1">
        <f t="array" ref="H420">_xlfn.XLOOKUP(A420&amp;C420, Лист2!$A$2:$A$505&amp;Лист2!$B$2:$B$505, Лист2!$E$2:$E$505)</f>
        <v>2000</v>
      </c>
      <c r="I420" s="16">
        <f t="shared" si="13"/>
        <v>1767.3</v>
      </c>
    </row>
    <row r="421" spans="1:9" ht="14.25" customHeight="1" x14ac:dyDescent="0.3">
      <c r="A421" s="8">
        <v>43978</v>
      </c>
      <c r="B421">
        <f t="shared" si="12"/>
        <v>22</v>
      </c>
      <c r="C421" s="9" t="s">
        <v>14</v>
      </c>
      <c r="D421" s="9">
        <v>286558.5</v>
      </c>
      <c r="E421" s="9">
        <v>29256993</v>
      </c>
      <c r="F421" s="7" cm="1">
        <f t="array" ref="F421">_xlfn.XLOOKUP(A421&amp;C421, Лист2!$A$2:$A$505&amp;Лист2!$B$2:$B$505, Лист2!$C$2:$C$505)</f>
        <v>129</v>
      </c>
      <c r="G421" s="15" cm="1">
        <f t="array" ref="G421">_xlfn.XLOOKUP(A421&amp;C421, Лист2!$A$2:$A$505&amp;Лист2!$B$2:$B$505, Лист2!$D$2:$D$505)</f>
        <v>17115</v>
      </c>
      <c r="H421" s="18" cm="1">
        <f t="array" ref="H421">_xlfn.XLOOKUP(A421&amp;C421, Лист2!$A$2:$A$505&amp;Лист2!$B$2:$B$505, Лист2!$E$2:$E$505)</f>
        <v>15962</v>
      </c>
      <c r="I421" s="16">
        <f t="shared" si="13"/>
        <v>2221.3837209302324</v>
      </c>
    </row>
    <row r="422" spans="1:9" ht="14.25" customHeight="1" x14ac:dyDescent="0.3">
      <c r="A422" s="5">
        <v>43973</v>
      </c>
      <c r="B422">
        <f t="shared" si="12"/>
        <v>21</v>
      </c>
      <c r="C422" s="6" t="s">
        <v>14</v>
      </c>
      <c r="D422" s="6">
        <v>304092</v>
      </c>
      <c r="E422" s="6">
        <v>29465769</v>
      </c>
      <c r="F422" s="7" cm="1">
        <f t="array" ref="F422">_xlfn.XLOOKUP(A422&amp;C422, Лист2!$A$2:$A$505&amp;Лист2!$B$2:$B$505, Лист2!$C$2:$C$505)</f>
        <v>129</v>
      </c>
      <c r="G422" s="15" cm="1">
        <f t="array" ref="G422">_xlfn.XLOOKUP(A422&amp;C422, Лист2!$A$2:$A$505&amp;Лист2!$B$2:$B$505, Лист2!$D$2:$D$505)</f>
        <v>17088</v>
      </c>
      <c r="H422" s="18" cm="1">
        <f t="array" ref="H422">_xlfn.XLOOKUP(A422&amp;C422, Лист2!$A$2:$A$505&amp;Лист2!$B$2:$B$505, Лист2!$E$2:$E$505)</f>
        <v>15804</v>
      </c>
      <c r="I422" s="16">
        <f t="shared" si="13"/>
        <v>2357.3023255813955</v>
      </c>
    </row>
    <row r="423" spans="1:9" ht="14.25" customHeight="1" x14ac:dyDescent="0.3">
      <c r="A423" s="8">
        <v>43983</v>
      </c>
      <c r="B423">
        <f t="shared" si="12"/>
        <v>23</v>
      </c>
      <c r="C423" s="9" t="s">
        <v>14</v>
      </c>
      <c r="D423" s="9">
        <v>272926.5</v>
      </c>
      <c r="E423" s="9">
        <v>27770092.5</v>
      </c>
      <c r="F423" s="7" cm="1">
        <f t="array" ref="F423">_xlfn.XLOOKUP(A423&amp;C423, Лист2!$A$2:$A$505&amp;Лист2!$B$2:$B$505, Лист2!$C$2:$C$505)</f>
        <v>128</v>
      </c>
      <c r="G423" s="15" cm="1">
        <f t="array" ref="G423">_xlfn.XLOOKUP(A423&amp;C423, Лист2!$A$2:$A$505&amp;Лист2!$B$2:$B$505, Лист2!$D$2:$D$505)</f>
        <v>16285</v>
      </c>
      <c r="H423" s="18" cm="1">
        <f t="array" ref="H423">_xlfn.XLOOKUP(A423&amp;C423, Лист2!$A$2:$A$505&amp;Лист2!$B$2:$B$505, Лист2!$E$2:$E$505)</f>
        <v>15130</v>
      </c>
      <c r="I423" s="16">
        <f t="shared" si="13"/>
        <v>2132.23828125</v>
      </c>
    </row>
    <row r="424" spans="1:9" ht="14.25" customHeight="1" x14ac:dyDescent="0.3">
      <c r="A424" s="5">
        <v>43962</v>
      </c>
      <c r="B424">
        <f t="shared" si="12"/>
        <v>20</v>
      </c>
      <c r="C424" s="6" t="s">
        <v>14</v>
      </c>
      <c r="D424" s="6">
        <v>237099</v>
      </c>
      <c r="E424" s="6">
        <v>24628233.223949999</v>
      </c>
      <c r="F424" s="7" cm="1">
        <f t="array" ref="F424">_xlfn.XLOOKUP(A424&amp;C424, Лист2!$A$2:$A$505&amp;Лист2!$B$2:$B$505, Лист2!$C$2:$C$505)</f>
        <v>129</v>
      </c>
      <c r="G424" s="15" cm="1">
        <f t="array" ref="G424">_xlfn.XLOOKUP(A424&amp;C424, Лист2!$A$2:$A$505&amp;Лист2!$B$2:$B$505, Лист2!$D$2:$D$505)</f>
        <v>14043</v>
      </c>
      <c r="H424" s="18" cm="1">
        <f t="array" ref="H424">_xlfn.XLOOKUP(A424&amp;C424, Лист2!$A$2:$A$505&amp;Лист2!$B$2:$B$505, Лист2!$E$2:$E$505)</f>
        <v>13167</v>
      </c>
      <c r="I424" s="16">
        <f t="shared" si="13"/>
        <v>1837.9767441860465</v>
      </c>
    </row>
    <row r="425" spans="1:9" ht="14.25" customHeight="1" x14ac:dyDescent="0.3">
      <c r="A425" s="8">
        <v>43969</v>
      </c>
      <c r="B425">
        <f t="shared" si="12"/>
        <v>21</v>
      </c>
      <c r="C425" s="9" t="s">
        <v>14</v>
      </c>
      <c r="D425" s="9">
        <v>273900</v>
      </c>
      <c r="E425" s="9">
        <v>27535284.147600003</v>
      </c>
      <c r="F425" s="7" cm="1">
        <f t="array" ref="F425">_xlfn.XLOOKUP(A425&amp;C425, Лист2!$A$2:$A$505&amp;Лист2!$B$2:$B$505, Лист2!$C$2:$C$505)</f>
        <v>129</v>
      </c>
      <c r="G425" s="15" cm="1">
        <f t="array" ref="G425">_xlfn.XLOOKUP(A425&amp;C425, Лист2!$A$2:$A$505&amp;Лист2!$B$2:$B$505, Лист2!$D$2:$D$505)</f>
        <v>16110</v>
      </c>
      <c r="H425" s="18" cm="1">
        <f t="array" ref="H425">_xlfn.XLOOKUP(A425&amp;C425, Лист2!$A$2:$A$505&amp;Лист2!$B$2:$B$505, Лист2!$E$2:$E$505)</f>
        <v>14992</v>
      </c>
      <c r="I425" s="16">
        <f t="shared" si="13"/>
        <v>2123.2558139534885</v>
      </c>
    </row>
    <row r="426" spans="1:9" ht="14.25" customHeight="1" x14ac:dyDescent="0.3">
      <c r="A426" s="5">
        <v>43965</v>
      </c>
      <c r="B426">
        <f t="shared" si="12"/>
        <v>20</v>
      </c>
      <c r="C426" s="6" t="s">
        <v>14</v>
      </c>
      <c r="D426" s="6">
        <v>274059</v>
      </c>
      <c r="E426" s="6">
        <v>28181292</v>
      </c>
      <c r="F426" s="7" cm="1">
        <f t="array" ref="F426">_xlfn.XLOOKUP(A426&amp;C426, Лист2!$A$2:$A$505&amp;Лист2!$B$2:$B$505, Лист2!$C$2:$C$505)</f>
        <v>129</v>
      </c>
      <c r="G426" s="15" cm="1">
        <f t="array" ref="G426">_xlfn.XLOOKUP(A426&amp;C426, Лист2!$A$2:$A$505&amp;Лист2!$B$2:$B$505, Лист2!$D$2:$D$505)</f>
        <v>15804</v>
      </c>
      <c r="H426" s="18" cm="1">
        <f t="array" ref="H426">_xlfn.XLOOKUP(A426&amp;C426, Лист2!$A$2:$A$505&amp;Лист2!$B$2:$B$505, Лист2!$E$2:$E$505)</f>
        <v>14738</v>
      </c>
      <c r="I426" s="16">
        <f t="shared" si="13"/>
        <v>2124.4883720930234</v>
      </c>
    </row>
    <row r="427" spans="1:9" ht="14.25" customHeight="1" x14ac:dyDescent="0.3">
      <c r="A427" s="8">
        <v>43966</v>
      </c>
      <c r="B427">
        <f t="shared" si="12"/>
        <v>20</v>
      </c>
      <c r="C427" s="9" t="s">
        <v>14</v>
      </c>
      <c r="D427" s="9">
        <v>318816</v>
      </c>
      <c r="E427" s="9">
        <v>32354331</v>
      </c>
      <c r="F427" s="7" cm="1">
        <f t="array" ref="F427">_xlfn.XLOOKUP(A427&amp;C427, Лист2!$A$2:$A$505&amp;Лист2!$B$2:$B$505, Лист2!$C$2:$C$505)</f>
        <v>129</v>
      </c>
      <c r="G427" s="15" cm="1">
        <f t="array" ref="G427">_xlfn.XLOOKUP(A427&amp;C427, Лист2!$A$2:$A$505&amp;Лист2!$B$2:$B$505, Лист2!$D$2:$D$505)</f>
        <v>17808</v>
      </c>
      <c r="H427" s="18" cm="1">
        <f t="array" ref="H427">_xlfn.XLOOKUP(A427&amp;C427, Лист2!$A$2:$A$505&amp;Лист2!$B$2:$B$505, Лист2!$E$2:$E$505)</f>
        <v>16486</v>
      </c>
      <c r="I427" s="16">
        <f t="shared" si="13"/>
        <v>2471.4418604651164</v>
      </c>
    </row>
    <row r="428" spans="1:9" ht="14.25" customHeight="1" x14ac:dyDescent="0.3">
      <c r="A428" s="5">
        <v>43978</v>
      </c>
      <c r="B428">
        <f t="shared" si="12"/>
        <v>22</v>
      </c>
      <c r="C428" s="6" t="s">
        <v>15</v>
      </c>
      <c r="D428" s="6">
        <v>370012.5</v>
      </c>
      <c r="E428" s="6">
        <v>39034861.5</v>
      </c>
      <c r="F428" s="7" cm="1">
        <f t="array" ref="F428">_xlfn.XLOOKUP(A428&amp;C428, Лист2!$A$2:$A$505&amp;Лист2!$B$2:$B$505, Лист2!$C$2:$C$505)</f>
        <v>124</v>
      </c>
      <c r="G428" s="15" cm="1">
        <f t="array" ref="G428">_xlfn.XLOOKUP(A428&amp;C428, Лист2!$A$2:$A$505&amp;Лист2!$B$2:$B$505, Лист2!$D$2:$D$505)</f>
        <v>21384</v>
      </c>
      <c r="H428" s="18" cm="1">
        <f t="array" ref="H428">_xlfn.XLOOKUP(A428&amp;C428, Лист2!$A$2:$A$505&amp;Лист2!$B$2:$B$505, Лист2!$E$2:$E$505)</f>
        <v>19897</v>
      </c>
      <c r="I428" s="16">
        <f t="shared" si="13"/>
        <v>2983.9717741935483</v>
      </c>
    </row>
    <row r="429" spans="1:9" ht="14.25" customHeight="1" x14ac:dyDescent="0.3">
      <c r="A429" s="8">
        <v>43973</v>
      </c>
      <c r="B429">
        <f t="shared" si="12"/>
        <v>21</v>
      </c>
      <c r="C429" s="9" t="s">
        <v>15</v>
      </c>
      <c r="D429" s="9">
        <v>393018</v>
      </c>
      <c r="E429" s="9">
        <v>39498373.5</v>
      </c>
      <c r="F429" s="7" cm="1">
        <f t="array" ref="F429">_xlfn.XLOOKUP(A429&amp;C429, Лист2!$A$2:$A$505&amp;Лист2!$B$2:$B$505, Лист2!$C$2:$C$505)</f>
        <v>125</v>
      </c>
      <c r="G429" s="15" cm="1">
        <f t="array" ref="G429">_xlfn.XLOOKUP(A429&amp;C429, Лист2!$A$2:$A$505&amp;Лист2!$B$2:$B$505, Лист2!$D$2:$D$505)</f>
        <v>21427</v>
      </c>
      <c r="H429" s="18" cm="1">
        <f t="array" ref="H429">_xlfn.XLOOKUP(A429&amp;C429, Лист2!$A$2:$A$505&amp;Лист2!$B$2:$B$505, Лист2!$E$2:$E$505)</f>
        <v>19799</v>
      </c>
      <c r="I429" s="16">
        <f t="shared" si="13"/>
        <v>3144.1439999999998</v>
      </c>
    </row>
    <row r="430" spans="1:9" ht="14.25" customHeight="1" x14ac:dyDescent="0.3">
      <c r="A430" s="5">
        <v>43983</v>
      </c>
      <c r="B430">
        <f t="shared" si="12"/>
        <v>23</v>
      </c>
      <c r="C430" s="6" t="s">
        <v>15</v>
      </c>
      <c r="D430" s="6">
        <v>349699.5</v>
      </c>
      <c r="E430" s="6">
        <v>37257840.18135</v>
      </c>
      <c r="F430" s="7" cm="1">
        <f t="array" ref="F430">_xlfn.XLOOKUP(A430&amp;C430, Лист2!$A$2:$A$505&amp;Лист2!$B$2:$B$505, Лист2!$C$2:$C$505)</f>
        <v>123</v>
      </c>
      <c r="G430" s="15" cm="1">
        <f t="array" ref="G430">_xlfn.XLOOKUP(A430&amp;C430, Лист2!$A$2:$A$505&amp;Лист2!$B$2:$B$505, Лист2!$D$2:$D$505)</f>
        <v>20325</v>
      </c>
      <c r="H430" s="18" cm="1">
        <f t="array" ref="H430">_xlfn.XLOOKUP(A430&amp;C430, Лист2!$A$2:$A$505&amp;Лист2!$B$2:$B$505, Лист2!$E$2:$E$505)</f>
        <v>18935</v>
      </c>
      <c r="I430" s="16">
        <f t="shared" si="13"/>
        <v>2843.0853658536585</v>
      </c>
    </row>
    <row r="431" spans="1:9" ht="14.25" customHeight="1" x14ac:dyDescent="0.3">
      <c r="A431" s="8">
        <v>43962</v>
      </c>
      <c r="B431">
        <f t="shared" si="12"/>
        <v>20</v>
      </c>
      <c r="C431" s="9" t="s">
        <v>15</v>
      </c>
      <c r="D431" s="9">
        <v>318565.5</v>
      </c>
      <c r="E431" s="9">
        <v>33781581</v>
      </c>
      <c r="F431" s="7" cm="1">
        <f t="array" ref="F431">_xlfn.XLOOKUP(A431&amp;C431, Лист2!$A$2:$A$505&amp;Лист2!$B$2:$B$505, Лист2!$C$2:$C$505)</f>
        <v>125</v>
      </c>
      <c r="G431" s="15" cm="1">
        <f t="array" ref="G431">_xlfn.XLOOKUP(A431&amp;C431, Лист2!$A$2:$A$505&amp;Лист2!$B$2:$B$505, Лист2!$D$2:$D$505)</f>
        <v>18066</v>
      </c>
      <c r="H431" s="18" cm="1">
        <f t="array" ref="H431">_xlfn.XLOOKUP(A431&amp;C431, Лист2!$A$2:$A$505&amp;Лист2!$B$2:$B$505, Лист2!$E$2:$E$505)</f>
        <v>16883</v>
      </c>
      <c r="I431" s="16">
        <f t="shared" si="13"/>
        <v>2548.5239999999999</v>
      </c>
    </row>
    <row r="432" spans="1:9" ht="14.25" customHeight="1" x14ac:dyDescent="0.3">
      <c r="A432" s="5">
        <v>43980</v>
      </c>
      <c r="B432">
        <f t="shared" si="12"/>
        <v>22</v>
      </c>
      <c r="C432" s="6" t="s">
        <v>14</v>
      </c>
      <c r="D432" s="6">
        <v>422965.5</v>
      </c>
      <c r="E432" s="6">
        <v>41767140.105000004</v>
      </c>
      <c r="F432" s="7" cm="1">
        <f t="array" ref="F432">_xlfn.XLOOKUP(A432&amp;C432, Лист2!$A$2:$A$505&amp;Лист2!$B$2:$B$505, Лист2!$C$2:$C$505)</f>
        <v>129</v>
      </c>
      <c r="G432" s="15" cm="1">
        <f t="array" ref="G432">_xlfn.XLOOKUP(A432&amp;C432, Лист2!$A$2:$A$505&amp;Лист2!$B$2:$B$505, Лист2!$D$2:$D$505)</f>
        <v>22403</v>
      </c>
      <c r="H432" s="18" cm="1">
        <f t="array" ref="H432">_xlfn.XLOOKUP(A432&amp;C432, Лист2!$A$2:$A$505&amp;Лист2!$B$2:$B$505, Лист2!$E$2:$E$505)</f>
        <v>20676</v>
      </c>
      <c r="I432" s="16">
        <f t="shared" si="13"/>
        <v>3278.8023255813955</v>
      </c>
    </row>
    <row r="433" spans="1:9" ht="14.25" customHeight="1" x14ac:dyDescent="0.3">
      <c r="A433" s="8">
        <v>43969</v>
      </c>
      <c r="B433">
        <f t="shared" si="12"/>
        <v>21</v>
      </c>
      <c r="C433" s="9" t="s">
        <v>15</v>
      </c>
      <c r="D433" s="9">
        <v>355081.5</v>
      </c>
      <c r="E433" s="9">
        <v>36876888</v>
      </c>
      <c r="F433" s="7" cm="1">
        <f t="array" ref="F433">_xlfn.XLOOKUP(A433&amp;C433, Лист2!$A$2:$A$505&amp;Лист2!$B$2:$B$505, Лист2!$C$2:$C$505)</f>
        <v>125</v>
      </c>
      <c r="G433" s="15" cm="1">
        <f t="array" ref="G433">_xlfn.XLOOKUP(A433&amp;C433, Лист2!$A$2:$A$505&amp;Лист2!$B$2:$B$505, Лист2!$D$2:$D$505)</f>
        <v>20449</v>
      </c>
      <c r="H433" s="18" cm="1">
        <f t="array" ref="H433">_xlfn.XLOOKUP(A433&amp;C433, Лист2!$A$2:$A$505&amp;Лист2!$B$2:$B$505, Лист2!$E$2:$E$505)</f>
        <v>19060</v>
      </c>
      <c r="I433" s="16">
        <f t="shared" si="13"/>
        <v>2840.652</v>
      </c>
    </row>
    <row r="434" spans="1:9" ht="14.25" customHeight="1" x14ac:dyDescent="0.3">
      <c r="A434" s="5">
        <v>43965</v>
      </c>
      <c r="B434">
        <f t="shared" si="12"/>
        <v>20</v>
      </c>
      <c r="C434" s="6" t="s">
        <v>15</v>
      </c>
      <c r="D434" s="6">
        <v>358387.5</v>
      </c>
      <c r="E434" s="6">
        <v>37963150.5</v>
      </c>
      <c r="F434" s="7" cm="1">
        <f t="array" ref="F434">_xlfn.XLOOKUP(A434&amp;C434, Лист2!$A$2:$A$505&amp;Лист2!$B$2:$B$505, Лист2!$C$2:$C$505)</f>
        <v>125</v>
      </c>
      <c r="G434" s="15" cm="1">
        <f t="array" ref="G434">_xlfn.XLOOKUP(A434&amp;C434, Лист2!$A$2:$A$505&amp;Лист2!$B$2:$B$505, Лист2!$D$2:$D$505)</f>
        <v>20247</v>
      </c>
      <c r="H434" s="18" cm="1">
        <f t="array" ref="H434">_xlfn.XLOOKUP(A434&amp;C434, Лист2!$A$2:$A$505&amp;Лист2!$B$2:$B$505, Лист2!$E$2:$E$505)</f>
        <v>18812</v>
      </c>
      <c r="I434" s="16">
        <f t="shared" si="13"/>
        <v>2867.1</v>
      </c>
    </row>
    <row r="435" spans="1:9" ht="14.25" customHeight="1" x14ac:dyDescent="0.3">
      <c r="A435" s="8">
        <v>43966</v>
      </c>
      <c r="B435">
        <f t="shared" si="12"/>
        <v>20</v>
      </c>
      <c r="C435" s="9" t="s">
        <v>15</v>
      </c>
      <c r="D435" s="9">
        <v>403261.5</v>
      </c>
      <c r="E435" s="9">
        <v>42271377</v>
      </c>
      <c r="F435" s="7" cm="1">
        <f t="array" ref="F435">_xlfn.XLOOKUP(A435&amp;C435, Лист2!$A$2:$A$505&amp;Лист2!$B$2:$B$505, Лист2!$C$2:$C$505)</f>
        <v>125</v>
      </c>
      <c r="G435" s="15" cm="1">
        <f t="array" ref="G435">_xlfn.XLOOKUP(A435&amp;C435, Лист2!$A$2:$A$505&amp;Лист2!$B$2:$B$505, Лист2!$D$2:$D$505)</f>
        <v>21862</v>
      </c>
      <c r="H435" s="18" cm="1">
        <f t="array" ref="H435">_xlfn.XLOOKUP(A435&amp;C435, Лист2!$A$2:$A$505&amp;Лист2!$B$2:$B$505, Лист2!$E$2:$E$505)</f>
        <v>20235</v>
      </c>
      <c r="I435" s="16">
        <f t="shared" si="13"/>
        <v>3226.0920000000001</v>
      </c>
    </row>
    <row r="436" spans="1:9" ht="14.25" customHeight="1" x14ac:dyDescent="0.3">
      <c r="A436" s="5">
        <v>43978</v>
      </c>
      <c r="B436">
        <f t="shared" si="12"/>
        <v>22</v>
      </c>
      <c r="C436" s="6" t="s">
        <v>16</v>
      </c>
      <c r="D436" s="6">
        <v>69010.5</v>
      </c>
      <c r="E436" s="6">
        <v>5985894</v>
      </c>
      <c r="F436" s="7" cm="1">
        <f t="array" ref="F436">_xlfn.XLOOKUP(A436&amp;C436, Лист2!$A$2:$A$505&amp;Лист2!$B$2:$B$505, Лист2!$C$2:$C$505)</f>
        <v>36</v>
      </c>
      <c r="G436" s="15" cm="1">
        <f t="array" ref="G436">_xlfn.XLOOKUP(A436&amp;C436, Лист2!$A$2:$A$505&amp;Лист2!$B$2:$B$505, Лист2!$D$2:$D$505)</f>
        <v>4951</v>
      </c>
      <c r="H436" s="18" cm="1">
        <f t="array" ref="H436">_xlfn.XLOOKUP(A436&amp;C436, Лист2!$A$2:$A$505&amp;Лист2!$B$2:$B$505, Лист2!$E$2:$E$505)</f>
        <v>4584</v>
      </c>
      <c r="I436" s="16">
        <f t="shared" si="13"/>
        <v>1916.9583333333333</v>
      </c>
    </row>
    <row r="437" spans="1:9" ht="14.25" customHeight="1" x14ac:dyDescent="0.3">
      <c r="A437" s="8">
        <v>43973</v>
      </c>
      <c r="B437">
        <f t="shared" si="12"/>
        <v>21</v>
      </c>
      <c r="C437" s="9" t="s">
        <v>16</v>
      </c>
      <c r="D437" s="9">
        <v>75820.5</v>
      </c>
      <c r="E437" s="9">
        <v>5943489</v>
      </c>
      <c r="F437" s="7" cm="1">
        <f t="array" ref="F437">_xlfn.XLOOKUP(A437&amp;C437, Лист2!$A$2:$A$505&amp;Лист2!$B$2:$B$505, Лист2!$C$2:$C$505)</f>
        <v>36</v>
      </c>
      <c r="G437" s="15" cm="1">
        <f t="array" ref="G437">_xlfn.XLOOKUP(A437&amp;C437, Лист2!$A$2:$A$505&amp;Лист2!$B$2:$B$505, Лист2!$D$2:$D$505)</f>
        <v>4857</v>
      </c>
      <c r="H437" s="18" cm="1">
        <f t="array" ref="H437">_xlfn.XLOOKUP(A437&amp;C437, Лист2!$A$2:$A$505&amp;Лист2!$B$2:$B$505, Лист2!$E$2:$E$505)</f>
        <v>4456</v>
      </c>
      <c r="I437" s="16">
        <f t="shared" si="13"/>
        <v>2106.125</v>
      </c>
    </row>
    <row r="438" spans="1:9" ht="14.25" customHeight="1" x14ac:dyDescent="0.3">
      <c r="A438" s="5">
        <v>43983</v>
      </c>
      <c r="B438">
        <f t="shared" si="12"/>
        <v>23</v>
      </c>
      <c r="C438" s="6" t="s">
        <v>16</v>
      </c>
      <c r="D438" s="6">
        <v>64740</v>
      </c>
      <c r="E438" s="6">
        <v>5800290</v>
      </c>
      <c r="F438" s="7" cm="1">
        <f t="array" ref="F438">_xlfn.XLOOKUP(A438&amp;C438, Лист2!$A$2:$A$505&amp;Лист2!$B$2:$B$505, Лист2!$C$2:$C$505)</f>
        <v>37</v>
      </c>
      <c r="G438" s="15" cm="1">
        <f t="array" ref="G438">_xlfn.XLOOKUP(A438&amp;C438, Лист2!$A$2:$A$505&amp;Лист2!$B$2:$B$505, Лист2!$D$2:$D$505)</f>
        <v>4722</v>
      </c>
      <c r="H438" s="18" cm="1">
        <f t="array" ref="H438">_xlfn.XLOOKUP(A438&amp;C438, Лист2!$A$2:$A$505&amp;Лист2!$B$2:$B$505, Лист2!$E$2:$E$505)</f>
        <v>4352</v>
      </c>
      <c r="I438" s="16">
        <f t="shared" si="13"/>
        <v>1749.7297297297298</v>
      </c>
    </row>
    <row r="439" spans="1:9" ht="14.25" customHeight="1" x14ac:dyDescent="0.3">
      <c r="A439" s="8">
        <v>43962</v>
      </c>
      <c r="B439">
        <f t="shared" si="12"/>
        <v>20</v>
      </c>
      <c r="C439" s="9" t="s">
        <v>16</v>
      </c>
      <c r="D439" s="9">
        <v>59574</v>
      </c>
      <c r="E439" s="9">
        <v>5178169.5</v>
      </c>
      <c r="F439" s="7" cm="1">
        <f t="array" ref="F439">_xlfn.XLOOKUP(A439&amp;C439, Лист2!$A$2:$A$505&amp;Лист2!$B$2:$B$505, Лист2!$C$2:$C$505)</f>
        <v>36</v>
      </c>
      <c r="G439" s="15" cm="1">
        <f t="array" ref="G439">_xlfn.XLOOKUP(A439&amp;C439, Лист2!$A$2:$A$505&amp;Лист2!$B$2:$B$505, Лист2!$D$2:$D$505)</f>
        <v>4150</v>
      </c>
      <c r="H439" s="18" cm="1">
        <f t="array" ref="H439">_xlfn.XLOOKUP(A439&amp;C439, Лист2!$A$2:$A$505&amp;Лист2!$B$2:$B$505, Лист2!$E$2:$E$505)</f>
        <v>3838</v>
      </c>
      <c r="I439" s="16">
        <f t="shared" si="13"/>
        <v>1654.8333333333333</v>
      </c>
    </row>
    <row r="440" spans="1:9" ht="14.25" customHeight="1" x14ac:dyDescent="0.3">
      <c r="A440" s="5">
        <v>43980</v>
      </c>
      <c r="B440">
        <f t="shared" si="12"/>
        <v>22</v>
      </c>
      <c r="C440" s="6" t="s">
        <v>15</v>
      </c>
      <c r="D440" s="6">
        <v>524481</v>
      </c>
      <c r="E440" s="6">
        <v>54172029</v>
      </c>
      <c r="F440" s="7" cm="1">
        <f t="array" ref="F440">_xlfn.XLOOKUP(A440&amp;C440, Лист2!$A$2:$A$505&amp;Лист2!$B$2:$B$505, Лист2!$C$2:$C$505)</f>
        <v>124</v>
      </c>
      <c r="G440" s="15" cm="1">
        <f t="array" ref="G440">_xlfn.XLOOKUP(A440&amp;C440, Лист2!$A$2:$A$505&amp;Лист2!$B$2:$B$505, Лист2!$D$2:$D$505)</f>
        <v>25828</v>
      </c>
      <c r="H440" s="18" cm="1">
        <f t="array" ref="H440">_xlfn.XLOOKUP(A440&amp;C440, Лист2!$A$2:$A$505&amp;Лист2!$B$2:$B$505, Лист2!$E$2:$E$505)</f>
        <v>23974</v>
      </c>
      <c r="I440" s="16">
        <f t="shared" si="13"/>
        <v>4229.6854838709678</v>
      </c>
    </row>
    <row r="441" spans="1:9" ht="14.25" customHeight="1" x14ac:dyDescent="0.3">
      <c r="A441" s="8">
        <v>43969</v>
      </c>
      <c r="B441">
        <f t="shared" si="12"/>
        <v>21</v>
      </c>
      <c r="C441" s="9" t="s">
        <v>16</v>
      </c>
      <c r="D441" s="9">
        <v>70278</v>
      </c>
      <c r="E441" s="9">
        <v>5798476.5</v>
      </c>
      <c r="F441" s="7" cm="1">
        <f t="array" ref="F441">_xlfn.XLOOKUP(A441&amp;C441, Лист2!$A$2:$A$505&amp;Лист2!$B$2:$B$505, Лист2!$C$2:$C$505)</f>
        <v>36</v>
      </c>
      <c r="G441" s="15" cm="1">
        <f t="array" ref="G441">_xlfn.XLOOKUP(A441&amp;C441, Лист2!$A$2:$A$505&amp;Лист2!$B$2:$B$505, Лист2!$D$2:$D$505)</f>
        <v>4885</v>
      </c>
      <c r="H441" s="18" cm="1">
        <f t="array" ref="H441">_xlfn.XLOOKUP(A441&amp;C441, Лист2!$A$2:$A$505&amp;Лист2!$B$2:$B$505, Лист2!$E$2:$E$505)</f>
        <v>4502</v>
      </c>
      <c r="I441" s="16">
        <f t="shared" si="13"/>
        <v>1952.1666666666667</v>
      </c>
    </row>
    <row r="442" spans="1:9" ht="14.25" customHeight="1" x14ac:dyDescent="0.3">
      <c r="A442" s="5">
        <v>43965</v>
      </c>
      <c r="B442">
        <f t="shared" si="12"/>
        <v>20</v>
      </c>
      <c r="C442" s="6" t="s">
        <v>16</v>
      </c>
      <c r="D442" s="6">
        <v>63645</v>
      </c>
      <c r="E442" s="6">
        <v>5366602.5</v>
      </c>
      <c r="F442" s="7" cm="1">
        <f t="array" ref="F442">_xlfn.XLOOKUP(A442&amp;C442, Лист2!$A$2:$A$505&amp;Лист2!$B$2:$B$505, Лист2!$C$2:$C$505)</f>
        <v>36</v>
      </c>
      <c r="G442" s="15" cm="1">
        <f t="array" ref="G442">_xlfn.XLOOKUP(A442&amp;C442, Лист2!$A$2:$A$505&amp;Лист2!$B$2:$B$505, Лист2!$D$2:$D$505)</f>
        <v>4285</v>
      </c>
      <c r="H442" s="18" cm="1">
        <f t="array" ref="H442">_xlfn.XLOOKUP(A442&amp;C442, Лист2!$A$2:$A$505&amp;Лист2!$B$2:$B$505, Лист2!$E$2:$E$505)</f>
        <v>3950</v>
      </c>
      <c r="I442" s="16">
        <f t="shared" si="13"/>
        <v>1767.9166666666667</v>
      </c>
    </row>
    <row r="443" spans="1:9" ht="14.25" customHeight="1" x14ac:dyDescent="0.3">
      <c r="A443" s="8">
        <v>43966</v>
      </c>
      <c r="B443">
        <f t="shared" si="12"/>
        <v>20</v>
      </c>
      <c r="C443" s="9" t="s">
        <v>16</v>
      </c>
      <c r="D443" s="9">
        <v>75642</v>
      </c>
      <c r="E443" s="9">
        <v>6293952</v>
      </c>
      <c r="F443" s="7" cm="1">
        <f t="array" ref="F443">_xlfn.XLOOKUP(A443&amp;C443, Лист2!$A$2:$A$505&amp;Лист2!$B$2:$B$505, Лист2!$C$2:$C$505)</f>
        <v>36</v>
      </c>
      <c r="G443" s="15" cm="1">
        <f t="array" ref="G443">_xlfn.XLOOKUP(A443&amp;C443, Лист2!$A$2:$A$505&amp;Лист2!$B$2:$B$505, Лист2!$D$2:$D$505)</f>
        <v>4862</v>
      </c>
      <c r="H443" s="18" cm="1">
        <f t="array" ref="H443">_xlfn.XLOOKUP(A443&amp;C443, Лист2!$A$2:$A$505&amp;Лист2!$B$2:$B$505, Лист2!$E$2:$E$505)</f>
        <v>4476</v>
      </c>
      <c r="I443" s="16">
        <f t="shared" si="13"/>
        <v>2101.1666666666665</v>
      </c>
    </row>
    <row r="444" spans="1:9" ht="14.25" customHeight="1" x14ac:dyDescent="0.3">
      <c r="A444" s="5">
        <v>43978</v>
      </c>
      <c r="B444">
        <f t="shared" si="12"/>
        <v>22</v>
      </c>
      <c r="C444" s="6" t="s">
        <v>17</v>
      </c>
      <c r="D444" s="6">
        <v>40420.5</v>
      </c>
      <c r="E444" s="6">
        <v>3780852</v>
      </c>
      <c r="F444" s="7" cm="1">
        <f t="array" ref="F444">_xlfn.XLOOKUP(A444&amp;C444, Лист2!$A$2:$A$505&amp;Лист2!$B$2:$B$505, Лист2!$C$2:$C$505)</f>
        <v>21</v>
      </c>
      <c r="G444" s="15" cm="1">
        <f t="array" ref="G444">_xlfn.XLOOKUP(A444&amp;C444, Лист2!$A$2:$A$505&amp;Лист2!$B$2:$B$505, Лист2!$D$2:$D$505)</f>
        <v>2430</v>
      </c>
      <c r="H444" s="18" cm="1">
        <f t="array" ref="H444">_xlfn.XLOOKUP(A444&amp;C444, Лист2!$A$2:$A$505&amp;Лист2!$B$2:$B$505, Лист2!$E$2:$E$505)</f>
        <v>2216</v>
      </c>
      <c r="I444" s="16">
        <f t="shared" si="13"/>
        <v>1924.7857142857142</v>
      </c>
    </row>
    <row r="445" spans="1:9" ht="14.25" customHeight="1" x14ac:dyDescent="0.3">
      <c r="A445" s="8">
        <v>43973</v>
      </c>
      <c r="B445">
        <f t="shared" si="12"/>
        <v>21</v>
      </c>
      <c r="C445" s="9" t="s">
        <v>17</v>
      </c>
      <c r="D445" s="9">
        <v>53838</v>
      </c>
      <c r="E445" s="9">
        <v>4840833</v>
      </c>
      <c r="F445" s="7" cm="1">
        <f t="array" ref="F445">_xlfn.XLOOKUP(A445&amp;C445, Лист2!$A$2:$A$505&amp;Лист2!$B$2:$B$505, Лист2!$C$2:$C$505)</f>
        <v>21</v>
      </c>
      <c r="G445" s="15" cm="1">
        <f t="array" ref="G445">_xlfn.XLOOKUP(A445&amp;C445, Лист2!$A$2:$A$505&amp;Лист2!$B$2:$B$505, Лист2!$D$2:$D$505)</f>
        <v>2861</v>
      </c>
      <c r="H445" s="18" cm="1">
        <f t="array" ref="H445">_xlfn.XLOOKUP(A445&amp;C445, Лист2!$A$2:$A$505&amp;Лист2!$B$2:$B$505, Лист2!$E$2:$E$505)</f>
        <v>2612</v>
      </c>
      <c r="I445" s="16">
        <f t="shared" si="13"/>
        <v>2563.7142857142858</v>
      </c>
    </row>
    <row r="446" spans="1:9" ht="14.25" customHeight="1" x14ac:dyDescent="0.3">
      <c r="A446" s="5">
        <v>43983</v>
      </c>
      <c r="B446">
        <f t="shared" si="12"/>
        <v>23</v>
      </c>
      <c r="C446" s="6" t="s">
        <v>17</v>
      </c>
      <c r="D446" s="6">
        <v>40528.5</v>
      </c>
      <c r="E446" s="6">
        <v>3865251</v>
      </c>
      <c r="F446" s="7" cm="1">
        <f t="array" ref="F446">_xlfn.XLOOKUP(A446&amp;C446, Лист2!$A$2:$A$505&amp;Лист2!$B$2:$B$505, Лист2!$C$2:$C$505)</f>
        <v>23</v>
      </c>
      <c r="G446" s="15" cm="1">
        <f t="array" ref="G446">_xlfn.XLOOKUP(A446&amp;C446, Лист2!$A$2:$A$505&amp;Лист2!$B$2:$B$505, Лист2!$D$2:$D$505)</f>
        <v>2531</v>
      </c>
      <c r="H446" s="18" cm="1">
        <f t="array" ref="H446">_xlfn.XLOOKUP(A446&amp;C446, Лист2!$A$2:$A$505&amp;Лист2!$B$2:$B$505, Лист2!$E$2:$E$505)</f>
        <v>2296</v>
      </c>
      <c r="I446" s="16">
        <f t="shared" si="13"/>
        <v>1762.108695652174</v>
      </c>
    </row>
    <row r="447" spans="1:9" ht="14.25" customHeight="1" x14ac:dyDescent="0.3">
      <c r="A447" s="8">
        <v>43962</v>
      </c>
      <c r="B447">
        <f t="shared" si="12"/>
        <v>20</v>
      </c>
      <c r="C447" s="9" t="s">
        <v>17</v>
      </c>
      <c r="D447" s="9">
        <v>32733</v>
      </c>
      <c r="E447" s="9">
        <v>3079630.5</v>
      </c>
      <c r="F447" s="7" cm="1">
        <f t="array" ref="F447">_xlfn.XLOOKUP(A447&amp;C447, Лист2!$A$2:$A$505&amp;Лист2!$B$2:$B$505, Лист2!$C$2:$C$505)</f>
        <v>21</v>
      </c>
      <c r="G447" s="15" cm="1">
        <f t="array" ref="G447">_xlfn.XLOOKUP(A447&amp;C447, Лист2!$A$2:$A$505&amp;Лист2!$B$2:$B$505, Лист2!$D$2:$D$505)</f>
        <v>1916</v>
      </c>
      <c r="H447" s="18" cm="1">
        <f t="array" ref="H447">_xlfn.XLOOKUP(A447&amp;C447, Лист2!$A$2:$A$505&amp;Лист2!$B$2:$B$505, Лист2!$E$2:$E$505)</f>
        <v>1733</v>
      </c>
      <c r="I447" s="16">
        <f t="shared" si="13"/>
        <v>1558.7142857142858</v>
      </c>
    </row>
    <row r="448" spans="1:9" ht="14.25" customHeight="1" x14ac:dyDescent="0.3">
      <c r="A448" s="5">
        <v>43980</v>
      </c>
      <c r="B448">
        <f t="shared" si="12"/>
        <v>22</v>
      </c>
      <c r="C448" s="6" t="s">
        <v>16</v>
      </c>
      <c r="D448" s="6">
        <v>84433.5</v>
      </c>
      <c r="E448" s="6">
        <v>7228395</v>
      </c>
      <c r="F448" s="7" cm="1">
        <f t="array" ref="F448">_xlfn.XLOOKUP(A448&amp;C448, Лист2!$A$2:$A$505&amp;Лист2!$B$2:$B$505, Лист2!$C$2:$C$505)</f>
        <v>37</v>
      </c>
      <c r="G448" s="15" cm="1">
        <f t="array" ref="G448">_xlfn.XLOOKUP(A448&amp;C448, Лист2!$A$2:$A$505&amp;Лист2!$B$2:$B$505, Лист2!$D$2:$D$505)</f>
        <v>5672</v>
      </c>
      <c r="H448" s="18" cm="1">
        <f t="array" ref="H448">_xlfn.XLOOKUP(A448&amp;C448, Лист2!$A$2:$A$505&amp;Лист2!$B$2:$B$505, Лист2!$E$2:$E$505)</f>
        <v>5198</v>
      </c>
      <c r="I448" s="16">
        <f t="shared" si="13"/>
        <v>2281.9864864864867</v>
      </c>
    </row>
    <row r="449" spans="1:9" ht="14.25" customHeight="1" x14ac:dyDescent="0.3">
      <c r="A449" s="8">
        <v>43969</v>
      </c>
      <c r="B449">
        <f t="shared" si="12"/>
        <v>21</v>
      </c>
      <c r="C449" s="9" t="s">
        <v>17</v>
      </c>
      <c r="D449" s="9">
        <v>36655.5</v>
      </c>
      <c r="E449" s="9">
        <v>3360135</v>
      </c>
      <c r="F449" s="7" cm="1">
        <f t="array" ref="F449">_xlfn.XLOOKUP(A449&amp;C449, Лист2!$A$2:$A$505&amp;Лист2!$B$2:$B$505, Лист2!$C$2:$C$505)</f>
        <v>21</v>
      </c>
      <c r="G449" s="15" cm="1">
        <f t="array" ref="G449">_xlfn.XLOOKUP(A449&amp;C449, Лист2!$A$2:$A$505&amp;Лист2!$B$2:$B$505, Лист2!$D$2:$D$505)</f>
        <v>2136</v>
      </c>
      <c r="H449" s="18" cm="1">
        <f t="array" ref="H449">_xlfn.XLOOKUP(A449&amp;C449, Лист2!$A$2:$A$505&amp;Лист2!$B$2:$B$505, Лист2!$E$2:$E$505)</f>
        <v>1947</v>
      </c>
      <c r="I449" s="16">
        <f t="shared" si="13"/>
        <v>1745.5</v>
      </c>
    </row>
    <row r="450" spans="1:9" ht="14.25" customHeight="1" x14ac:dyDescent="0.3">
      <c r="A450" s="5">
        <v>43965</v>
      </c>
      <c r="B450">
        <f t="shared" si="12"/>
        <v>20</v>
      </c>
      <c r="C450" s="6" t="s">
        <v>17</v>
      </c>
      <c r="D450" s="6">
        <v>33886.5</v>
      </c>
      <c r="E450" s="6">
        <v>3166479</v>
      </c>
      <c r="F450" s="7" cm="1">
        <f t="array" ref="F450">_xlfn.XLOOKUP(A450&amp;C450, Лист2!$A$2:$A$505&amp;Лист2!$B$2:$B$505, Лист2!$C$2:$C$505)</f>
        <v>21</v>
      </c>
      <c r="G450" s="15" cm="1">
        <f t="array" ref="G450">_xlfn.XLOOKUP(A450&amp;C450, Лист2!$A$2:$A$505&amp;Лист2!$B$2:$B$505, Лист2!$D$2:$D$505)</f>
        <v>1993</v>
      </c>
      <c r="H450" s="18" cm="1">
        <f t="array" ref="H450">_xlfn.XLOOKUP(A450&amp;C450, Лист2!$A$2:$A$505&amp;Лист2!$B$2:$B$505, Лист2!$E$2:$E$505)</f>
        <v>1796</v>
      </c>
      <c r="I450" s="16">
        <f t="shared" si="13"/>
        <v>1613.6428571428571</v>
      </c>
    </row>
    <row r="451" spans="1:9" ht="14.25" customHeight="1" x14ac:dyDescent="0.3">
      <c r="A451" s="8">
        <v>43966</v>
      </c>
      <c r="B451">
        <f t="shared" ref="B451:B505" si="14">WEEKNUM(A451, 2)</f>
        <v>20</v>
      </c>
      <c r="C451" s="9" t="s">
        <v>17</v>
      </c>
      <c r="D451" s="9">
        <v>41697</v>
      </c>
      <c r="E451" s="9">
        <v>3772258.5</v>
      </c>
      <c r="F451" s="7" cm="1">
        <f t="array" ref="F451">_xlfn.XLOOKUP(A451&amp;C451, Лист2!$A$2:$A$505&amp;Лист2!$B$2:$B$505, Лист2!$C$2:$C$505)</f>
        <v>21</v>
      </c>
      <c r="G451" s="15" cm="1">
        <f t="array" ref="G451">_xlfn.XLOOKUP(A451&amp;C451, Лист2!$A$2:$A$505&amp;Лист2!$B$2:$B$505, Лист2!$D$2:$D$505)</f>
        <v>2255</v>
      </c>
      <c r="H451" s="18" cm="1">
        <f t="array" ref="H451">_xlfn.XLOOKUP(A451&amp;C451, Лист2!$A$2:$A$505&amp;Лист2!$B$2:$B$505, Лист2!$E$2:$E$505)</f>
        <v>2045</v>
      </c>
      <c r="I451" s="16">
        <f t="shared" ref="I451:I505" si="15">D451/F451</f>
        <v>1985.5714285714287</v>
      </c>
    </row>
    <row r="452" spans="1:9" ht="14.25" customHeight="1" x14ac:dyDescent="0.3">
      <c r="A452" s="5">
        <v>43980</v>
      </c>
      <c r="B452">
        <f t="shared" si="14"/>
        <v>22</v>
      </c>
      <c r="C452" s="6" t="s">
        <v>17</v>
      </c>
      <c r="D452" s="6">
        <v>44569.5</v>
      </c>
      <c r="E452" s="6">
        <v>4108596</v>
      </c>
      <c r="F452" s="7" cm="1">
        <f t="array" ref="F452">_xlfn.XLOOKUP(A452&amp;C452, Лист2!$A$2:$A$505&amp;Лист2!$B$2:$B$505, Лист2!$C$2:$C$505)</f>
        <v>22</v>
      </c>
      <c r="G452" s="15" cm="1">
        <f t="array" ref="G452">_xlfn.XLOOKUP(A452&amp;C452, Лист2!$A$2:$A$505&amp;Лист2!$B$2:$B$505, Лист2!$D$2:$D$505)</f>
        <v>2597</v>
      </c>
      <c r="H452" s="18" cm="1">
        <f t="array" ref="H452">_xlfn.XLOOKUP(A452&amp;C452, Лист2!$A$2:$A$505&amp;Лист2!$B$2:$B$505, Лист2!$E$2:$E$505)</f>
        <v>2379</v>
      </c>
      <c r="I452" s="16">
        <f t="shared" si="15"/>
        <v>2025.8863636363637</v>
      </c>
    </row>
    <row r="453" spans="1:9" ht="14.25" customHeight="1" x14ac:dyDescent="0.3">
      <c r="A453" s="8">
        <v>43978</v>
      </c>
      <c r="B453">
        <f t="shared" si="14"/>
        <v>22</v>
      </c>
      <c r="C453" s="9" t="s">
        <v>18</v>
      </c>
      <c r="D453" s="9">
        <v>18069</v>
      </c>
      <c r="E453" s="9">
        <v>1603084.5</v>
      </c>
      <c r="F453" s="7" cm="1">
        <f t="array" ref="F453">_xlfn.XLOOKUP(A453&amp;C453, Лист2!$A$2:$A$505&amp;Лист2!$B$2:$B$505, Лист2!$C$2:$C$505)</f>
        <v>17</v>
      </c>
      <c r="G453" s="15" cm="1">
        <f t="array" ref="G453">_xlfn.XLOOKUP(A453&amp;C453, Лист2!$A$2:$A$505&amp;Лист2!$B$2:$B$505, Лист2!$D$2:$D$505)</f>
        <v>1203</v>
      </c>
      <c r="H453" s="18" cm="1">
        <f t="array" ref="H453">_xlfn.XLOOKUP(A453&amp;C453, Лист2!$A$2:$A$505&amp;Лист2!$B$2:$B$505, Лист2!$E$2:$E$505)</f>
        <v>1077</v>
      </c>
      <c r="I453" s="16">
        <f t="shared" si="15"/>
        <v>1062.8823529411766</v>
      </c>
    </row>
    <row r="454" spans="1:9" ht="14.25" customHeight="1" x14ac:dyDescent="0.3">
      <c r="A454" s="5">
        <v>43973</v>
      </c>
      <c r="B454">
        <f t="shared" si="14"/>
        <v>21</v>
      </c>
      <c r="C454" s="6" t="s">
        <v>18</v>
      </c>
      <c r="D454" s="6">
        <v>21483</v>
      </c>
      <c r="E454" s="6">
        <v>1774329</v>
      </c>
      <c r="F454" s="7" cm="1">
        <f t="array" ref="F454">_xlfn.XLOOKUP(A454&amp;C454, Лист2!$A$2:$A$505&amp;Лист2!$B$2:$B$505, Лист2!$C$2:$C$505)</f>
        <v>17</v>
      </c>
      <c r="G454" s="15" cm="1">
        <f t="array" ref="G454">_xlfn.XLOOKUP(A454&amp;C454, Лист2!$A$2:$A$505&amp;Лист2!$B$2:$B$505, Лист2!$D$2:$D$505)</f>
        <v>1268</v>
      </c>
      <c r="H454" s="18" cm="1">
        <f t="array" ref="H454">_xlfn.XLOOKUP(A454&amp;C454, Лист2!$A$2:$A$505&amp;Лист2!$B$2:$B$505, Лист2!$E$2:$E$505)</f>
        <v>1129</v>
      </c>
      <c r="I454" s="16">
        <f t="shared" si="15"/>
        <v>1263.7058823529412</v>
      </c>
    </row>
    <row r="455" spans="1:9" ht="14.25" customHeight="1" x14ac:dyDescent="0.3">
      <c r="A455" s="8">
        <v>43983</v>
      </c>
      <c r="B455">
        <f t="shared" si="14"/>
        <v>23</v>
      </c>
      <c r="C455" s="9" t="s">
        <v>18</v>
      </c>
      <c r="D455" s="9">
        <v>16687.5</v>
      </c>
      <c r="E455" s="9">
        <v>1526608.5</v>
      </c>
      <c r="F455" s="7" cm="1">
        <f t="array" ref="F455">_xlfn.XLOOKUP(A455&amp;C455, Лист2!$A$2:$A$505&amp;Лист2!$B$2:$B$505, Лист2!$C$2:$C$505)</f>
        <v>17</v>
      </c>
      <c r="G455" s="15" cm="1">
        <f t="array" ref="G455">_xlfn.XLOOKUP(A455&amp;C455, Лист2!$A$2:$A$505&amp;Лист2!$B$2:$B$505, Лист2!$D$2:$D$505)</f>
        <v>1185</v>
      </c>
      <c r="H455" s="18" cm="1">
        <f t="array" ref="H455">_xlfn.XLOOKUP(A455&amp;C455, Лист2!$A$2:$A$505&amp;Лист2!$B$2:$B$505, Лист2!$E$2:$E$505)</f>
        <v>1042</v>
      </c>
      <c r="I455" s="16">
        <f t="shared" si="15"/>
        <v>981.61764705882354</v>
      </c>
    </row>
    <row r="456" spans="1:9" ht="14.25" customHeight="1" x14ac:dyDescent="0.3">
      <c r="A456" s="5">
        <v>43962</v>
      </c>
      <c r="B456">
        <f t="shared" si="14"/>
        <v>20</v>
      </c>
      <c r="C456" s="6" t="s">
        <v>18</v>
      </c>
      <c r="D456" s="6">
        <v>12238.5</v>
      </c>
      <c r="E456" s="6">
        <v>1096002</v>
      </c>
      <c r="F456" s="7" cm="1">
        <f t="array" ref="F456">_xlfn.XLOOKUP(A456&amp;C456, Лист2!$A$2:$A$505&amp;Лист2!$B$2:$B$505, Лист2!$C$2:$C$505)</f>
        <v>15</v>
      </c>
      <c r="G456" s="15" cm="1">
        <f t="array" ref="G456">_xlfn.XLOOKUP(A456&amp;C456, Лист2!$A$2:$A$505&amp;Лист2!$B$2:$B$505, Лист2!$D$2:$D$505)</f>
        <v>812</v>
      </c>
      <c r="H456" s="18" cm="1">
        <f t="array" ref="H456">_xlfn.XLOOKUP(A456&amp;C456, Лист2!$A$2:$A$505&amp;Лист2!$B$2:$B$505, Лист2!$E$2:$E$505)</f>
        <v>714</v>
      </c>
      <c r="I456" s="16">
        <f t="shared" si="15"/>
        <v>815.9</v>
      </c>
    </row>
    <row r="457" spans="1:9" ht="14.25" customHeight="1" x14ac:dyDescent="0.3">
      <c r="A457" s="8">
        <v>43969</v>
      </c>
      <c r="B457">
        <f t="shared" si="14"/>
        <v>21</v>
      </c>
      <c r="C457" s="9" t="s">
        <v>18</v>
      </c>
      <c r="D457" s="9">
        <v>14290.5</v>
      </c>
      <c r="E457" s="9">
        <v>1246162.5</v>
      </c>
      <c r="F457" s="7" cm="1">
        <f t="array" ref="F457">_xlfn.XLOOKUP(A457&amp;C457, Лист2!$A$2:$A$505&amp;Лист2!$B$2:$B$505, Лист2!$C$2:$C$505)</f>
        <v>16</v>
      </c>
      <c r="G457" s="15" cm="1">
        <f t="array" ref="G457">_xlfn.XLOOKUP(A457&amp;C457, Лист2!$A$2:$A$505&amp;Лист2!$B$2:$B$505, Лист2!$D$2:$D$505)</f>
        <v>925</v>
      </c>
      <c r="H457" s="18" cm="1">
        <f t="array" ref="H457">_xlfn.XLOOKUP(A457&amp;C457, Лист2!$A$2:$A$505&amp;Лист2!$B$2:$B$505, Лист2!$E$2:$E$505)</f>
        <v>816</v>
      </c>
      <c r="I457" s="16">
        <f t="shared" si="15"/>
        <v>893.15625</v>
      </c>
    </row>
    <row r="458" spans="1:9" ht="14.25" customHeight="1" x14ac:dyDescent="0.3">
      <c r="A458" s="5">
        <v>43965</v>
      </c>
      <c r="B458">
        <f t="shared" si="14"/>
        <v>20</v>
      </c>
      <c r="C458" s="6" t="s">
        <v>18</v>
      </c>
      <c r="D458" s="6">
        <v>14385</v>
      </c>
      <c r="E458" s="6">
        <v>1223491.5</v>
      </c>
      <c r="F458" s="7" cm="1">
        <f t="array" ref="F458">_xlfn.XLOOKUP(A458&amp;C458, Лист2!$A$2:$A$505&amp;Лист2!$B$2:$B$505, Лист2!$C$2:$C$505)</f>
        <v>15</v>
      </c>
      <c r="G458" s="15" cm="1">
        <f t="array" ref="G458">_xlfn.XLOOKUP(A458&amp;C458, Лист2!$A$2:$A$505&amp;Лист2!$B$2:$B$505, Лист2!$D$2:$D$505)</f>
        <v>890</v>
      </c>
      <c r="H458" s="18" cm="1">
        <f t="array" ref="H458">_xlfn.XLOOKUP(A458&amp;C458, Лист2!$A$2:$A$505&amp;Лист2!$B$2:$B$505, Лист2!$E$2:$E$505)</f>
        <v>777</v>
      </c>
      <c r="I458" s="16">
        <f t="shared" si="15"/>
        <v>959</v>
      </c>
    </row>
    <row r="459" spans="1:9" ht="14.25" customHeight="1" x14ac:dyDescent="0.3">
      <c r="A459" s="8">
        <v>43966</v>
      </c>
      <c r="B459">
        <f t="shared" si="14"/>
        <v>20</v>
      </c>
      <c r="C459" s="9" t="s">
        <v>18</v>
      </c>
      <c r="D459" s="9">
        <v>16498.5</v>
      </c>
      <c r="E459" s="9">
        <v>1370482.5</v>
      </c>
      <c r="F459" s="7" cm="1">
        <f t="array" ref="F459">_xlfn.XLOOKUP(A459&amp;C459, Лист2!$A$2:$A$505&amp;Лист2!$B$2:$B$505, Лист2!$C$2:$C$505)</f>
        <v>15</v>
      </c>
      <c r="G459" s="15" cm="1">
        <f t="array" ref="G459">_xlfn.XLOOKUP(A459&amp;C459, Лист2!$A$2:$A$505&amp;Лист2!$B$2:$B$505, Лист2!$D$2:$D$505)</f>
        <v>980</v>
      </c>
      <c r="H459" s="18" cm="1">
        <f t="array" ref="H459">_xlfn.XLOOKUP(A459&amp;C459, Лист2!$A$2:$A$505&amp;Лист2!$B$2:$B$505, Лист2!$E$2:$E$505)</f>
        <v>867</v>
      </c>
      <c r="I459" s="16">
        <f t="shared" si="15"/>
        <v>1099.9000000000001</v>
      </c>
    </row>
    <row r="460" spans="1:9" ht="14.25" customHeight="1" x14ac:dyDescent="0.3">
      <c r="A460" s="5">
        <v>43978</v>
      </c>
      <c r="B460">
        <f t="shared" si="14"/>
        <v>22</v>
      </c>
      <c r="C460" s="6" t="s">
        <v>19</v>
      </c>
      <c r="D460" s="6">
        <v>13203</v>
      </c>
      <c r="E460" s="6">
        <v>1211457</v>
      </c>
      <c r="F460" s="7" cm="1">
        <f t="array" ref="F460">_xlfn.XLOOKUP(A460&amp;C460, Лист2!$A$2:$A$505&amp;Лист2!$B$2:$B$505, Лист2!$C$2:$C$505)</f>
        <v>15</v>
      </c>
      <c r="G460" s="15" cm="1">
        <f t="array" ref="G460">_xlfn.XLOOKUP(A460&amp;C460, Лист2!$A$2:$A$505&amp;Лист2!$B$2:$B$505, Лист2!$D$2:$D$505)</f>
        <v>809</v>
      </c>
      <c r="H460" s="18" cm="1">
        <f t="array" ref="H460">_xlfn.XLOOKUP(A460&amp;C460, Лист2!$A$2:$A$505&amp;Лист2!$B$2:$B$505, Лист2!$E$2:$E$505)</f>
        <v>702</v>
      </c>
      <c r="I460" s="16">
        <f t="shared" si="15"/>
        <v>880.2</v>
      </c>
    </row>
    <row r="461" spans="1:9" ht="14.25" customHeight="1" x14ac:dyDescent="0.3">
      <c r="A461" s="8">
        <v>43973</v>
      </c>
      <c r="B461">
        <f t="shared" si="14"/>
        <v>21</v>
      </c>
      <c r="C461" s="9" t="s">
        <v>19</v>
      </c>
      <c r="D461" s="9">
        <v>15802.5</v>
      </c>
      <c r="E461" s="9">
        <v>1411909.5</v>
      </c>
      <c r="F461" s="7" cm="1">
        <f t="array" ref="F461">_xlfn.XLOOKUP(A461&amp;C461, Лист2!$A$2:$A$505&amp;Лист2!$B$2:$B$505, Лист2!$C$2:$C$505)</f>
        <v>15</v>
      </c>
      <c r="G461" s="15" cm="1">
        <f t="array" ref="G461">_xlfn.XLOOKUP(A461&amp;C461, Лист2!$A$2:$A$505&amp;Лист2!$B$2:$B$505, Лист2!$D$2:$D$505)</f>
        <v>903</v>
      </c>
      <c r="H461" s="18" cm="1">
        <f t="array" ref="H461">_xlfn.XLOOKUP(A461&amp;C461, Лист2!$A$2:$A$505&amp;Лист2!$B$2:$B$505, Лист2!$E$2:$E$505)</f>
        <v>792</v>
      </c>
      <c r="I461" s="16">
        <f t="shared" si="15"/>
        <v>1053.5</v>
      </c>
    </row>
    <row r="462" spans="1:9" ht="14.25" customHeight="1" x14ac:dyDescent="0.3">
      <c r="A462" s="5">
        <v>43983</v>
      </c>
      <c r="B462">
        <f t="shared" si="14"/>
        <v>23</v>
      </c>
      <c r="C462" s="6" t="s">
        <v>19</v>
      </c>
      <c r="D462" s="6">
        <v>16476</v>
      </c>
      <c r="E462" s="6">
        <v>1565632.5</v>
      </c>
      <c r="F462" s="7" cm="1">
        <f t="array" ref="F462">_xlfn.XLOOKUP(A462&amp;C462, Лист2!$A$2:$A$505&amp;Лист2!$B$2:$B$505, Лист2!$C$2:$C$505)</f>
        <v>16</v>
      </c>
      <c r="G462" s="15" cm="1">
        <f t="array" ref="G462">_xlfn.XLOOKUP(A462&amp;C462, Лист2!$A$2:$A$505&amp;Лист2!$B$2:$B$505, Лист2!$D$2:$D$505)</f>
        <v>1019</v>
      </c>
      <c r="H462" s="18" cm="1">
        <f t="array" ref="H462">_xlfn.XLOOKUP(A462&amp;C462, Лист2!$A$2:$A$505&amp;Лист2!$B$2:$B$505, Лист2!$E$2:$E$505)</f>
        <v>895</v>
      </c>
      <c r="I462" s="16">
        <f t="shared" si="15"/>
        <v>1029.75</v>
      </c>
    </row>
    <row r="463" spans="1:9" ht="14.25" customHeight="1" x14ac:dyDescent="0.3">
      <c r="A463" s="8">
        <v>43962</v>
      </c>
      <c r="B463">
        <f t="shared" si="14"/>
        <v>20</v>
      </c>
      <c r="C463" s="9" t="s">
        <v>19</v>
      </c>
      <c r="D463" s="9">
        <v>12654</v>
      </c>
      <c r="E463" s="9">
        <v>1081158</v>
      </c>
      <c r="F463" s="7" cm="1">
        <f t="array" ref="F463">_xlfn.XLOOKUP(A463&amp;C463, Лист2!$A$2:$A$505&amp;Лист2!$B$2:$B$505, Лист2!$C$2:$C$505)</f>
        <v>15</v>
      </c>
      <c r="G463" s="15" cm="1">
        <f t="array" ref="G463">_xlfn.XLOOKUP(A463&amp;C463, Лист2!$A$2:$A$505&amp;Лист2!$B$2:$B$505, Лист2!$D$2:$D$505)</f>
        <v>684</v>
      </c>
      <c r="H463" s="18" cm="1">
        <f t="array" ref="H463">_xlfn.XLOOKUP(A463&amp;C463, Лист2!$A$2:$A$505&amp;Лист2!$B$2:$B$505, Лист2!$E$2:$E$505)</f>
        <v>585</v>
      </c>
      <c r="I463" s="16">
        <f t="shared" si="15"/>
        <v>843.6</v>
      </c>
    </row>
    <row r="464" spans="1:9" ht="14.25" customHeight="1" x14ac:dyDescent="0.3">
      <c r="A464" s="5">
        <v>43980</v>
      </c>
      <c r="B464">
        <f t="shared" si="14"/>
        <v>22</v>
      </c>
      <c r="C464" s="6" t="s">
        <v>18</v>
      </c>
      <c r="D464" s="6">
        <v>19647</v>
      </c>
      <c r="E464" s="6">
        <v>1764669</v>
      </c>
      <c r="F464" s="7" cm="1">
        <f t="array" ref="F464">_xlfn.XLOOKUP(A464&amp;C464, Лист2!$A$2:$A$505&amp;Лист2!$B$2:$B$505, Лист2!$C$2:$C$505)</f>
        <v>17</v>
      </c>
      <c r="G464" s="15" cm="1">
        <f t="array" ref="G464">_xlfn.XLOOKUP(A464&amp;C464, Лист2!$A$2:$A$505&amp;Лист2!$B$2:$B$505, Лист2!$D$2:$D$505)</f>
        <v>1296</v>
      </c>
      <c r="H464" s="18" cm="1">
        <f t="array" ref="H464">_xlfn.XLOOKUP(A464&amp;C464, Лист2!$A$2:$A$505&amp;Лист2!$B$2:$B$505, Лист2!$E$2:$E$505)</f>
        <v>1153</v>
      </c>
      <c r="I464" s="16">
        <f t="shared" si="15"/>
        <v>1155.7058823529412</v>
      </c>
    </row>
    <row r="465" spans="1:9" ht="14.25" customHeight="1" x14ac:dyDescent="0.3">
      <c r="A465" s="8">
        <v>43969</v>
      </c>
      <c r="B465">
        <f t="shared" si="14"/>
        <v>21</v>
      </c>
      <c r="C465" s="9" t="s">
        <v>19</v>
      </c>
      <c r="D465" s="9">
        <v>12450</v>
      </c>
      <c r="E465" s="9">
        <v>1115146.5</v>
      </c>
      <c r="F465" s="7" cm="1">
        <f t="array" ref="F465">_xlfn.XLOOKUP(A465&amp;C465, Лист2!$A$2:$A$505&amp;Лист2!$B$2:$B$505, Лист2!$C$2:$C$505)</f>
        <v>15</v>
      </c>
      <c r="G465" s="15" cm="1">
        <f t="array" ref="G465">_xlfn.XLOOKUP(A465&amp;C465, Лист2!$A$2:$A$505&amp;Лист2!$B$2:$B$505, Лист2!$D$2:$D$505)</f>
        <v>729</v>
      </c>
      <c r="H465" s="18" cm="1">
        <f t="array" ref="H465">_xlfn.XLOOKUP(A465&amp;C465, Лист2!$A$2:$A$505&amp;Лист2!$B$2:$B$505, Лист2!$E$2:$E$505)</f>
        <v>636</v>
      </c>
      <c r="I465" s="16">
        <f t="shared" si="15"/>
        <v>830</v>
      </c>
    </row>
    <row r="466" spans="1:9" ht="14.25" customHeight="1" x14ac:dyDescent="0.3">
      <c r="A466" s="5">
        <v>43965</v>
      </c>
      <c r="B466">
        <f t="shared" si="14"/>
        <v>20</v>
      </c>
      <c r="C466" s="6" t="s">
        <v>19</v>
      </c>
      <c r="D466" s="6">
        <v>11161.5</v>
      </c>
      <c r="E466" s="6">
        <v>963502.5</v>
      </c>
      <c r="F466" s="7" cm="1">
        <f t="array" ref="F466">_xlfn.XLOOKUP(A466&amp;C466, Лист2!$A$2:$A$505&amp;Лист2!$B$2:$B$505, Лист2!$C$2:$C$505)</f>
        <v>15</v>
      </c>
      <c r="G466" s="15" cm="1">
        <f t="array" ref="G466">_xlfn.XLOOKUP(A466&amp;C466, Лист2!$A$2:$A$505&amp;Лист2!$B$2:$B$505, Лист2!$D$2:$D$505)</f>
        <v>638</v>
      </c>
      <c r="H466" s="18" cm="1">
        <f t="array" ref="H466">_xlfn.XLOOKUP(A466&amp;C466, Лист2!$A$2:$A$505&amp;Лист2!$B$2:$B$505, Лист2!$E$2:$E$505)</f>
        <v>548</v>
      </c>
      <c r="I466" s="16">
        <f t="shared" si="15"/>
        <v>744.1</v>
      </c>
    </row>
    <row r="467" spans="1:9" ht="14.25" customHeight="1" x14ac:dyDescent="0.3">
      <c r="A467" s="8">
        <v>43966</v>
      </c>
      <c r="B467">
        <f t="shared" si="14"/>
        <v>20</v>
      </c>
      <c r="C467" s="9" t="s">
        <v>19</v>
      </c>
      <c r="D467" s="9">
        <v>12229.5</v>
      </c>
      <c r="E467" s="9">
        <v>1122730.5</v>
      </c>
      <c r="F467" s="7" cm="1">
        <f t="array" ref="F467">_xlfn.XLOOKUP(A467&amp;C467, Лист2!$A$2:$A$505&amp;Лист2!$B$2:$B$505, Лист2!$C$2:$C$505)</f>
        <v>15</v>
      </c>
      <c r="G467" s="15" cm="1">
        <f t="array" ref="G467">_xlfn.XLOOKUP(A467&amp;C467, Лист2!$A$2:$A$505&amp;Лист2!$B$2:$B$505, Лист2!$D$2:$D$505)</f>
        <v>688</v>
      </c>
      <c r="H467" s="18" cm="1">
        <f t="array" ref="H467">_xlfn.XLOOKUP(A467&amp;C467, Лист2!$A$2:$A$505&amp;Лист2!$B$2:$B$505, Лист2!$E$2:$E$505)</f>
        <v>598</v>
      </c>
      <c r="I467" s="16">
        <f t="shared" si="15"/>
        <v>815.3</v>
      </c>
    </row>
    <row r="468" spans="1:9" ht="14.25" customHeight="1" x14ac:dyDescent="0.3">
      <c r="A468" s="5">
        <v>43978</v>
      </c>
      <c r="B468">
        <f t="shared" si="14"/>
        <v>22</v>
      </c>
      <c r="C468" s="6" t="s">
        <v>20</v>
      </c>
      <c r="D468" s="6">
        <v>28050</v>
      </c>
      <c r="E468" s="6">
        <v>2458555.5</v>
      </c>
      <c r="F468" s="7" cm="1">
        <f t="array" ref="F468">_xlfn.XLOOKUP(A468&amp;C468, Лист2!$A$2:$A$505&amp;Лист2!$B$2:$B$505, Лист2!$C$2:$C$505)</f>
        <v>20</v>
      </c>
      <c r="G468" s="15" cm="1">
        <f t="array" ref="G468">_xlfn.XLOOKUP(A468&amp;C468, Лист2!$A$2:$A$505&amp;Лист2!$B$2:$B$505, Лист2!$D$2:$D$505)</f>
        <v>1873</v>
      </c>
      <c r="H468" s="18" cm="1">
        <f t="array" ref="H468">_xlfn.XLOOKUP(A468&amp;C468, Лист2!$A$2:$A$505&amp;Лист2!$B$2:$B$505, Лист2!$E$2:$E$505)</f>
        <v>1715</v>
      </c>
      <c r="I468" s="16">
        <f t="shared" si="15"/>
        <v>1402.5</v>
      </c>
    </row>
    <row r="469" spans="1:9" ht="14.25" customHeight="1" x14ac:dyDescent="0.3">
      <c r="A469" s="8">
        <v>43973</v>
      </c>
      <c r="B469">
        <f t="shared" si="14"/>
        <v>21</v>
      </c>
      <c r="C469" s="9" t="s">
        <v>20</v>
      </c>
      <c r="D469" s="9">
        <v>30781.5</v>
      </c>
      <c r="E469" s="9">
        <v>2540715</v>
      </c>
      <c r="F469" s="7" cm="1">
        <f t="array" ref="F469">_xlfn.XLOOKUP(A469&amp;C469, Лист2!$A$2:$A$505&amp;Лист2!$B$2:$B$505, Лист2!$C$2:$C$505)</f>
        <v>19</v>
      </c>
      <c r="G469" s="15" cm="1">
        <f t="array" ref="G469">_xlfn.XLOOKUP(A469&amp;C469, Лист2!$A$2:$A$505&amp;Лист2!$B$2:$B$505, Лист2!$D$2:$D$505)</f>
        <v>1859</v>
      </c>
      <c r="H469" s="18" cm="1">
        <f t="array" ref="H469">_xlfn.XLOOKUP(A469&amp;C469, Лист2!$A$2:$A$505&amp;Лист2!$B$2:$B$505, Лист2!$E$2:$E$505)</f>
        <v>1697</v>
      </c>
      <c r="I469" s="16">
        <f t="shared" si="15"/>
        <v>1620.078947368421</v>
      </c>
    </row>
    <row r="470" spans="1:9" ht="14.25" customHeight="1" x14ac:dyDescent="0.3">
      <c r="A470" s="5">
        <v>43983</v>
      </c>
      <c r="B470">
        <f t="shared" si="14"/>
        <v>23</v>
      </c>
      <c r="C470" s="6" t="s">
        <v>20</v>
      </c>
      <c r="D470" s="6">
        <v>27960</v>
      </c>
      <c r="E470" s="6">
        <v>2538967.5</v>
      </c>
      <c r="F470" s="7" cm="1">
        <f t="array" ref="F470">_xlfn.XLOOKUP(A470&amp;C470, Лист2!$A$2:$A$505&amp;Лист2!$B$2:$B$505, Лист2!$C$2:$C$505)</f>
        <v>21</v>
      </c>
      <c r="G470" s="15" cm="1">
        <f t="array" ref="G470">_xlfn.XLOOKUP(A470&amp;C470, Лист2!$A$2:$A$505&amp;Лист2!$B$2:$B$505, Лист2!$D$2:$D$505)</f>
        <v>1879</v>
      </c>
      <c r="H470" s="18" cm="1">
        <f t="array" ref="H470">_xlfn.XLOOKUP(A470&amp;C470, Лист2!$A$2:$A$505&amp;Лист2!$B$2:$B$505, Лист2!$E$2:$E$505)</f>
        <v>1720</v>
      </c>
      <c r="I470" s="16">
        <f t="shared" si="15"/>
        <v>1331.4285714285713</v>
      </c>
    </row>
    <row r="471" spans="1:9" ht="14.25" customHeight="1" x14ac:dyDescent="0.3">
      <c r="A471" s="8">
        <v>43962</v>
      </c>
      <c r="B471">
        <f t="shared" si="14"/>
        <v>20</v>
      </c>
      <c r="C471" s="9" t="s">
        <v>20</v>
      </c>
      <c r="D471" s="9">
        <v>23629.5</v>
      </c>
      <c r="E471" s="9">
        <v>2164365</v>
      </c>
      <c r="F471" s="7" cm="1">
        <f t="array" ref="F471">_xlfn.XLOOKUP(A471&amp;C471, Лист2!$A$2:$A$505&amp;Лист2!$B$2:$B$505, Лист2!$C$2:$C$505)</f>
        <v>19</v>
      </c>
      <c r="G471" s="15" cm="1">
        <f t="array" ref="G471">_xlfn.XLOOKUP(A471&amp;C471, Лист2!$A$2:$A$505&amp;Лист2!$B$2:$B$505, Лист2!$D$2:$D$505)</f>
        <v>1527</v>
      </c>
      <c r="H471" s="18" cm="1">
        <f t="array" ref="H471">_xlfn.XLOOKUP(A471&amp;C471, Лист2!$A$2:$A$505&amp;Лист2!$B$2:$B$505, Лист2!$E$2:$E$505)</f>
        <v>1389</v>
      </c>
      <c r="I471" s="16">
        <f t="shared" si="15"/>
        <v>1243.6578947368421</v>
      </c>
    </row>
    <row r="472" spans="1:9" ht="14.25" customHeight="1" x14ac:dyDescent="0.3">
      <c r="A472" s="5">
        <v>43980</v>
      </c>
      <c r="B472">
        <f t="shared" si="14"/>
        <v>22</v>
      </c>
      <c r="C472" s="6" t="s">
        <v>19</v>
      </c>
      <c r="D472" s="6">
        <v>17052</v>
      </c>
      <c r="E472" s="6">
        <v>1549020</v>
      </c>
      <c r="F472" s="7" cm="1">
        <f t="array" ref="F472">_xlfn.XLOOKUP(A472&amp;C472, Лист2!$A$2:$A$505&amp;Лист2!$B$2:$B$505, Лист2!$C$2:$C$505)</f>
        <v>16</v>
      </c>
      <c r="G472" s="15" cm="1">
        <f t="array" ref="G472">_xlfn.XLOOKUP(A472&amp;C472, Лист2!$A$2:$A$505&amp;Лист2!$B$2:$B$505, Лист2!$D$2:$D$505)</f>
        <v>981</v>
      </c>
      <c r="H472" s="18" cm="1">
        <f t="array" ref="H472">_xlfn.XLOOKUP(A472&amp;C472, Лист2!$A$2:$A$505&amp;Лист2!$B$2:$B$505, Лист2!$E$2:$E$505)</f>
        <v>859</v>
      </c>
      <c r="I472" s="16">
        <f t="shared" si="15"/>
        <v>1065.75</v>
      </c>
    </row>
    <row r="473" spans="1:9" ht="14.25" customHeight="1" x14ac:dyDescent="0.3">
      <c r="A473" s="8">
        <v>43969</v>
      </c>
      <c r="B473">
        <f t="shared" si="14"/>
        <v>21</v>
      </c>
      <c r="C473" s="9" t="s">
        <v>20</v>
      </c>
      <c r="D473" s="9">
        <v>27181.5</v>
      </c>
      <c r="E473" s="9">
        <v>2324490</v>
      </c>
      <c r="F473" s="7" cm="1">
        <f t="array" ref="F473">_xlfn.XLOOKUP(A473&amp;C473, Лист2!$A$2:$A$505&amp;Лист2!$B$2:$B$505, Лист2!$C$2:$C$505)</f>
        <v>19</v>
      </c>
      <c r="G473" s="15" cm="1">
        <f t="array" ref="G473">_xlfn.XLOOKUP(A473&amp;C473, Лист2!$A$2:$A$505&amp;Лист2!$B$2:$B$505, Лист2!$D$2:$D$505)</f>
        <v>1741</v>
      </c>
      <c r="H473" s="18" cm="1">
        <f t="array" ref="H473">_xlfn.XLOOKUP(A473&amp;C473, Лист2!$A$2:$A$505&amp;Лист2!$B$2:$B$505, Лист2!$E$2:$E$505)</f>
        <v>1597</v>
      </c>
      <c r="I473" s="16">
        <f t="shared" si="15"/>
        <v>1430.6052631578948</v>
      </c>
    </row>
    <row r="474" spans="1:9" ht="14.25" customHeight="1" x14ac:dyDescent="0.3">
      <c r="A474" s="5">
        <v>43965</v>
      </c>
      <c r="B474">
        <f t="shared" si="14"/>
        <v>20</v>
      </c>
      <c r="C474" s="6" t="s">
        <v>20</v>
      </c>
      <c r="D474" s="6">
        <v>25656</v>
      </c>
      <c r="E474" s="6">
        <v>2225341.5</v>
      </c>
      <c r="F474" s="7" cm="1">
        <f t="array" ref="F474">_xlfn.XLOOKUP(A474&amp;C474, Лист2!$A$2:$A$505&amp;Лист2!$B$2:$B$505, Лист2!$C$2:$C$505)</f>
        <v>19</v>
      </c>
      <c r="G474" s="15" cm="1">
        <f t="array" ref="G474">_xlfn.XLOOKUP(A474&amp;C474, Лист2!$A$2:$A$505&amp;Лист2!$B$2:$B$505, Лист2!$D$2:$D$505)</f>
        <v>1635</v>
      </c>
      <c r="H474" s="18" cm="1">
        <f t="array" ref="H474">_xlfn.XLOOKUP(A474&amp;C474, Лист2!$A$2:$A$505&amp;Лист2!$B$2:$B$505, Лист2!$E$2:$E$505)</f>
        <v>1487</v>
      </c>
      <c r="I474" s="16">
        <f t="shared" si="15"/>
        <v>1350.3157894736842</v>
      </c>
    </row>
    <row r="475" spans="1:9" ht="14.25" customHeight="1" x14ac:dyDescent="0.3">
      <c r="A475" s="8">
        <v>43966</v>
      </c>
      <c r="B475">
        <f t="shared" si="14"/>
        <v>20</v>
      </c>
      <c r="C475" s="9" t="s">
        <v>20</v>
      </c>
      <c r="D475" s="9">
        <v>29283</v>
      </c>
      <c r="E475" s="9">
        <v>2477487</v>
      </c>
      <c r="F475" s="7" cm="1">
        <f t="array" ref="F475">_xlfn.XLOOKUP(A475&amp;C475, Лист2!$A$2:$A$505&amp;Лист2!$B$2:$B$505, Лист2!$C$2:$C$505)</f>
        <v>19</v>
      </c>
      <c r="G475" s="15" cm="1">
        <f t="array" ref="G475">_xlfn.XLOOKUP(A475&amp;C475, Лист2!$A$2:$A$505&amp;Лист2!$B$2:$B$505, Лист2!$D$2:$D$505)</f>
        <v>1780</v>
      </c>
      <c r="H475" s="18" cm="1">
        <f t="array" ref="H475">_xlfn.XLOOKUP(A475&amp;C475, Лист2!$A$2:$A$505&amp;Лист2!$B$2:$B$505, Лист2!$E$2:$E$505)</f>
        <v>1615</v>
      </c>
      <c r="I475" s="16">
        <f t="shared" si="15"/>
        <v>1541.2105263157894</v>
      </c>
    </row>
    <row r="476" spans="1:9" ht="14.25" customHeight="1" x14ac:dyDescent="0.3">
      <c r="A476" s="5">
        <v>43980</v>
      </c>
      <c r="B476">
        <f t="shared" si="14"/>
        <v>22</v>
      </c>
      <c r="C476" s="6" t="s">
        <v>20</v>
      </c>
      <c r="D476" s="6">
        <v>32782.5</v>
      </c>
      <c r="E476" s="6">
        <v>2854741.5</v>
      </c>
      <c r="F476" s="7" cm="1">
        <f t="array" ref="F476">_xlfn.XLOOKUP(A476&amp;C476, Лист2!$A$2:$A$505&amp;Лист2!$B$2:$B$505, Лист2!$C$2:$C$505)</f>
        <v>20</v>
      </c>
      <c r="G476" s="15" cm="1">
        <f t="array" ref="G476">_xlfn.XLOOKUP(A476&amp;C476, Лист2!$A$2:$A$505&amp;Лист2!$B$2:$B$505, Лист2!$D$2:$D$505)</f>
        <v>2064</v>
      </c>
      <c r="H476" s="18" cm="1">
        <f t="array" ref="H476">_xlfn.XLOOKUP(A476&amp;C476, Лист2!$A$2:$A$505&amp;Лист2!$B$2:$B$505, Лист2!$E$2:$E$505)</f>
        <v>1896</v>
      </c>
      <c r="I476" s="16">
        <f t="shared" si="15"/>
        <v>1639.125</v>
      </c>
    </row>
    <row r="477" spans="1:9" ht="14.25" customHeight="1" x14ac:dyDescent="0.3">
      <c r="A477" s="8">
        <v>43978</v>
      </c>
      <c r="B477">
        <f t="shared" si="14"/>
        <v>22</v>
      </c>
      <c r="C477" s="9" t="s">
        <v>21</v>
      </c>
      <c r="D477" s="9">
        <v>215592</v>
      </c>
      <c r="E477" s="9">
        <v>22342300.5</v>
      </c>
      <c r="F477" s="7" cm="1">
        <f t="array" ref="F477">_xlfn.XLOOKUP(A477&amp;C477, Лист2!$A$2:$A$505&amp;Лист2!$B$2:$B$505, Лист2!$C$2:$C$505)</f>
        <v>59</v>
      </c>
      <c r="G477" s="15" cm="1">
        <f t="array" ref="G477">_xlfn.XLOOKUP(A477&amp;C477, Лист2!$A$2:$A$505&amp;Лист2!$B$2:$B$505, Лист2!$D$2:$D$505)</f>
        <v>13942</v>
      </c>
      <c r="H477" s="18" cm="1">
        <f t="array" ref="H477">_xlfn.XLOOKUP(A477&amp;C477, Лист2!$A$2:$A$505&amp;Лист2!$B$2:$B$505, Лист2!$E$2:$E$505)</f>
        <v>12986</v>
      </c>
      <c r="I477" s="16">
        <f t="shared" si="15"/>
        <v>3654.101694915254</v>
      </c>
    </row>
    <row r="478" spans="1:9" ht="14.25" customHeight="1" x14ac:dyDescent="0.3">
      <c r="A478" s="5">
        <v>43973</v>
      </c>
      <c r="B478">
        <f t="shared" si="14"/>
        <v>21</v>
      </c>
      <c r="C478" s="6" t="s">
        <v>21</v>
      </c>
      <c r="D478" s="6">
        <v>228334.5</v>
      </c>
      <c r="E478" s="6">
        <v>22380772.5</v>
      </c>
      <c r="F478" s="7" cm="1">
        <f t="array" ref="F478">_xlfn.XLOOKUP(A478&amp;C478, Лист2!$A$2:$A$505&amp;Лист2!$B$2:$B$505, Лист2!$C$2:$C$505)</f>
        <v>60</v>
      </c>
      <c r="G478" s="15" cm="1">
        <f t="array" ref="G478">_xlfn.XLOOKUP(A478&amp;C478, Лист2!$A$2:$A$505&amp;Лист2!$B$2:$B$505, Лист2!$D$2:$D$505)</f>
        <v>14050</v>
      </c>
      <c r="H478" s="18" cm="1">
        <f t="array" ref="H478">_xlfn.XLOOKUP(A478&amp;C478, Лист2!$A$2:$A$505&amp;Лист2!$B$2:$B$505, Лист2!$E$2:$E$505)</f>
        <v>13027</v>
      </c>
      <c r="I478" s="16">
        <f t="shared" si="15"/>
        <v>3805.5749999999998</v>
      </c>
    </row>
    <row r="479" spans="1:9" ht="14.25" customHeight="1" x14ac:dyDescent="0.3">
      <c r="A479" s="8">
        <v>43983</v>
      </c>
      <c r="B479">
        <f t="shared" si="14"/>
        <v>23</v>
      </c>
      <c r="C479" s="9" t="s">
        <v>21</v>
      </c>
      <c r="D479" s="9">
        <v>188776.5</v>
      </c>
      <c r="E479" s="9">
        <v>19465372.5</v>
      </c>
      <c r="F479" s="7" cm="1">
        <f t="array" ref="F479">_xlfn.XLOOKUP(A479&amp;C479, Лист2!$A$2:$A$505&amp;Лист2!$B$2:$B$505, Лист2!$C$2:$C$505)</f>
        <v>59</v>
      </c>
      <c r="G479" s="15" cm="1">
        <f t="array" ref="G479">_xlfn.XLOOKUP(A479&amp;C479, Лист2!$A$2:$A$505&amp;Лист2!$B$2:$B$505, Лист2!$D$2:$D$505)</f>
        <v>12299</v>
      </c>
      <c r="H479" s="18" cm="1">
        <f t="array" ref="H479">_xlfn.XLOOKUP(A479&amp;C479, Лист2!$A$2:$A$505&amp;Лист2!$B$2:$B$505, Лист2!$E$2:$E$505)</f>
        <v>11448</v>
      </c>
      <c r="I479" s="16">
        <f t="shared" si="15"/>
        <v>3199.601694915254</v>
      </c>
    </row>
    <row r="480" spans="1:9" ht="14.25" customHeight="1" x14ac:dyDescent="0.3">
      <c r="A480" s="5">
        <v>43962</v>
      </c>
      <c r="B480">
        <f t="shared" si="14"/>
        <v>20</v>
      </c>
      <c r="C480" s="6" t="s">
        <v>21</v>
      </c>
      <c r="D480" s="6">
        <v>175293</v>
      </c>
      <c r="E480" s="6">
        <v>17919144</v>
      </c>
      <c r="F480" s="7" cm="1">
        <f t="array" ref="F480">_xlfn.XLOOKUP(A480&amp;C480, Лист2!$A$2:$A$505&amp;Лист2!$B$2:$B$505, Лист2!$C$2:$C$505)</f>
        <v>60</v>
      </c>
      <c r="G480" s="15" cm="1">
        <f t="array" ref="G480">_xlfn.XLOOKUP(A480&amp;C480, Лист2!$A$2:$A$505&amp;Лист2!$B$2:$B$505, Лист2!$D$2:$D$505)</f>
        <v>11100</v>
      </c>
      <c r="H480" s="18" cm="1">
        <f t="array" ref="H480">_xlfn.XLOOKUP(A480&amp;C480, Лист2!$A$2:$A$505&amp;Лист2!$B$2:$B$505, Лист2!$E$2:$E$505)</f>
        <v>10407</v>
      </c>
      <c r="I480" s="16">
        <f t="shared" si="15"/>
        <v>2921.55</v>
      </c>
    </row>
    <row r="481" spans="1:9" ht="14.25" customHeight="1" x14ac:dyDescent="0.3">
      <c r="A481" s="8">
        <v>43969</v>
      </c>
      <c r="B481">
        <f t="shared" si="14"/>
        <v>21</v>
      </c>
      <c r="C481" s="9" t="s">
        <v>21</v>
      </c>
      <c r="D481" s="9">
        <v>201999</v>
      </c>
      <c r="E481" s="9">
        <v>20422435.5</v>
      </c>
      <c r="F481" s="7" cm="1">
        <f t="array" ref="F481">_xlfn.XLOOKUP(A481&amp;C481, Лист2!$A$2:$A$505&amp;Лист2!$B$2:$B$505, Лист2!$C$2:$C$505)</f>
        <v>60</v>
      </c>
      <c r="G481" s="15" cm="1">
        <f t="array" ref="G481">_xlfn.XLOOKUP(A481&amp;C481, Лист2!$A$2:$A$505&amp;Лист2!$B$2:$B$505, Лист2!$D$2:$D$505)</f>
        <v>12460</v>
      </c>
      <c r="H481" s="18" cm="1">
        <f t="array" ref="H481">_xlfn.XLOOKUP(A481&amp;C481, Лист2!$A$2:$A$505&amp;Лист2!$B$2:$B$505, Лист2!$E$2:$E$505)</f>
        <v>11665</v>
      </c>
      <c r="I481" s="16">
        <f t="shared" si="15"/>
        <v>3366.65</v>
      </c>
    </row>
    <row r="482" spans="1:9" ht="14.25" customHeight="1" x14ac:dyDescent="0.3">
      <c r="A482" s="5">
        <v>43965</v>
      </c>
      <c r="B482">
        <f t="shared" si="14"/>
        <v>20</v>
      </c>
      <c r="C482" s="6" t="s">
        <v>21</v>
      </c>
      <c r="D482" s="6">
        <v>197946</v>
      </c>
      <c r="E482" s="6">
        <v>19942435.5</v>
      </c>
      <c r="F482" s="7" cm="1">
        <f t="array" ref="F482">_xlfn.XLOOKUP(A482&amp;C482, Лист2!$A$2:$A$505&amp;Лист2!$B$2:$B$505, Лист2!$C$2:$C$505)</f>
        <v>60</v>
      </c>
      <c r="G482" s="15" cm="1">
        <f t="array" ref="G482">_xlfn.XLOOKUP(A482&amp;C482, Лист2!$A$2:$A$505&amp;Лист2!$B$2:$B$505, Лист2!$D$2:$D$505)</f>
        <v>11935</v>
      </c>
      <c r="H482" s="18" cm="1">
        <f t="array" ref="H482">_xlfn.XLOOKUP(A482&amp;C482, Лист2!$A$2:$A$505&amp;Лист2!$B$2:$B$505, Лист2!$E$2:$E$505)</f>
        <v>11178</v>
      </c>
      <c r="I482" s="16">
        <f t="shared" si="15"/>
        <v>3299.1</v>
      </c>
    </row>
    <row r="483" spans="1:9" ht="14.25" customHeight="1" x14ac:dyDescent="0.3">
      <c r="A483" s="8">
        <v>43966</v>
      </c>
      <c r="B483">
        <f t="shared" si="14"/>
        <v>20</v>
      </c>
      <c r="C483" s="9" t="s">
        <v>21</v>
      </c>
      <c r="D483" s="9">
        <v>230896.5</v>
      </c>
      <c r="E483" s="9">
        <v>23085222</v>
      </c>
      <c r="F483" s="7" cm="1">
        <f t="array" ref="F483">_xlfn.XLOOKUP(A483&amp;C483, Лист2!$A$2:$A$505&amp;Лист2!$B$2:$B$505, Лист2!$C$2:$C$505)</f>
        <v>60</v>
      </c>
      <c r="G483" s="15" cm="1">
        <f t="array" ref="G483">_xlfn.XLOOKUP(A483&amp;C483, Лист2!$A$2:$A$505&amp;Лист2!$B$2:$B$505, Лист2!$D$2:$D$505)</f>
        <v>13544</v>
      </c>
      <c r="H483" s="18" cm="1">
        <f t="array" ref="H483">_xlfn.XLOOKUP(A483&amp;C483, Лист2!$A$2:$A$505&amp;Лист2!$B$2:$B$505, Лист2!$E$2:$E$505)</f>
        <v>12643</v>
      </c>
      <c r="I483" s="16">
        <f t="shared" si="15"/>
        <v>3848.2750000000001</v>
      </c>
    </row>
    <row r="484" spans="1:9" ht="14.25" customHeight="1" x14ac:dyDescent="0.3">
      <c r="A484" s="5">
        <v>43978</v>
      </c>
      <c r="B484">
        <f t="shared" si="14"/>
        <v>22</v>
      </c>
      <c r="C484" s="6" t="s">
        <v>22</v>
      </c>
      <c r="D484" s="6">
        <v>203532</v>
      </c>
      <c r="E484" s="6">
        <v>20953324.5</v>
      </c>
      <c r="F484" s="7" cm="1">
        <f t="array" ref="F484">_xlfn.XLOOKUP(A484&amp;C484, Лист2!$A$2:$A$505&amp;Лист2!$B$2:$B$505, Лист2!$C$2:$C$505)</f>
        <v>54</v>
      </c>
      <c r="G484" s="15" cm="1">
        <f t="array" ref="G484">_xlfn.XLOOKUP(A484&amp;C484, Лист2!$A$2:$A$505&amp;Лист2!$B$2:$B$505, Лист2!$D$2:$D$505)</f>
        <v>13091</v>
      </c>
      <c r="H484" s="18" cm="1">
        <f t="array" ref="H484">_xlfn.XLOOKUP(A484&amp;C484, Лист2!$A$2:$A$505&amp;Лист2!$B$2:$B$505, Лист2!$E$2:$E$505)</f>
        <v>12216</v>
      </c>
      <c r="I484" s="16">
        <f t="shared" si="15"/>
        <v>3769.1111111111113</v>
      </c>
    </row>
    <row r="485" spans="1:9" ht="14.25" customHeight="1" x14ac:dyDescent="0.3">
      <c r="A485" s="8">
        <v>43973</v>
      </c>
      <c r="B485">
        <f t="shared" si="14"/>
        <v>21</v>
      </c>
      <c r="C485" s="9" t="s">
        <v>22</v>
      </c>
      <c r="D485" s="9">
        <v>214428</v>
      </c>
      <c r="E485" s="9">
        <v>20812585.5</v>
      </c>
      <c r="F485" s="7" cm="1">
        <f t="array" ref="F485">_xlfn.XLOOKUP(A485&amp;C485, Лист2!$A$2:$A$505&amp;Лист2!$B$2:$B$505, Лист2!$C$2:$C$505)</f>
        <v>54</v>
      </c>
      <c r="G485" s="15" cm="1">
        <f t="array" ref="G485">_xlfn.XLOOKUP(A485&amp;C485, Лист2!$A$2:$A$505&amp;Лист2!$B$2:$B$505, Лист2!$D$2:$D$505)</f>
        <v>13014</v>
      </c>
      <c r="H485" s="18" cm="1">
        <f t="array" ref="H485">_xlfn.XLOOKUP(A485&amp;C485, Лист2!$A$2:$A$505&amp;Лист2!$B$2:$B$505, Лист2!$E$2:$E$505)</f>
        <v>12095</v>
      </c>
      <c r="I485" s="16">
        <f t="shared" si="15"/>
        <v>3970.8888888888887</v>
      </c>
    </row>
    <row r="486" spans="1:9" ht="14.25" customHeight="1" x14ac:dyDescent="0.3">
      <c r="A486" s="5">
        <v>43983</v>
      </c>
      <c r="B486">
        <f t="shared" si="14"/>
        <v>23</v>
      </c>
      <c r="C486" s="6" t="s">
        <v>22</v>
      </c>
      <c r="D486" s="6">
        <v>183228</v>
      </c>
      <c r="E486" s="6">
        <v>18914194.5</v>
      </c>
      <c r="F486" s="7" cm="1">
        <f t="array" ref="F486">_xlfn.XLOOKUP(A486&amp;C486, Лист2!$A$2:$A$505&amp;Лист2!$B$2:$B$505, Лист2!$C$2:$C$505)</f>
        <v>54</v>
      </c>
      <c r="G486" s="15" cm="1">
        <f t="array" ref="G486">_xlfn.XLOOKUP(A486&amp;C486, Лист2!$A$2:$A$505&amp;Лист2!$B$2:$B$505, Лист2!$D$2:$D$505)</f>
        <v>11864</v>
      </c>
      <c r="H486" s="18" cm="1">
        <f t="array" ref="H486">_xlfn.XLOOKUP(A486&amp;C486, Лист2!$A$2:$A$505&amp;Лист2!$B$2:$B$505, Лист2!$E$2:$E$505)</f>
        <v>11071</v>
      </c>
      <c r="I486" s="16">
        <f t="shared" si="15"/>
        <v>3393.1111111111113</v>
      </c>
    </row>
    <row r="487" spans="1:9" ht="14.25" customHeight="1" x14ac:dyDescent="0.3">
      <c r="A487" s="8">
        <v>43962</v>
      </c>
      <c r="B487">
        <f t="shared" si="14"/>
        <v>20</v>
      </c>
      <c r="C487" s="9" t="s">
        <v>22</v>
      </c>
      <c r="D487" s="9">
        <v>166948.5</v>
      </c>
      <c r="E487" s="9">
        <v>16971231</v>
      </c>
      <c r="F487" s="7" cm="1">
        <f t="array" ref="F487">_xlfn.XLOOKUP(A487&amp;C487, Лист2!$A$2:$A$505&amp;Лист2!$B$2:$B$505, Лист2!$C$2:$C$505)</f>
        <v>54</v>
      </c>
      <c r="G487" s="15" cm="1">
        <f t="array" ref="G487">_xlfn.XLOOKUP(A487&amp;C487, Лист2!$A$2:$A$505&amp;Лист2!$B$2:$B$505, Лист2!$D$2:$D$505)</f>
        <v>10570</v>
      </c>
      <c r="H487" s="18" cm="1">
        <f t="array" ref="H487">_xlfn.XLOOKUP(A487&amp;C487, Лист2!$A$2:$A$505&amp;Лист2!$B$2:$B$505, Лист2!$E$2:$E$505)</f>
        <v>9926</v>
      </c>
      <c r="I487" s="16">
        <f t="shared" si="15"/>
        <v>3091.6388888888887</v>
      </c>
    </row>
    <row r="488" spans="1:9" ht="14.25" customHeight="1" x14ac:dyDescent="0.3">
      <c r="A488" s="5">
        <v>43980</v>
      </c>
      <c r="B488">
        <f t="shared" si="14"/>
        <v>22</v>
      </c>
      <c r="C488" s="6" t="s">
        <v>21</v>
      </c>
      <c r="D488" s="6">
        <v>232102.5</v>
      </c>
      <c r="E488" s="6">
        <v>23120443.5</v>
      </c>
      <c r="F488" s="7" cm="1">
        <f t="array" ref="F488">_xlfn.XLOOKUP(A488&amp;C488, Лист2!$A$2:$A$505&amp;Лист2!$B$2:$B$505, Лист2!$C$2:$C$505)</f>
        <v>59</v>
      </c>
      <c r="G488" s="15" cm="1">
        <f t="array" ref="G488">_xlfn.XLOOKUP(A488&amp;C488, Лист2!$A$2:$A$505&amp;Лист2!$B$2:$B$505, Лист2!$D$2:$D$505)</f>
        <v>14507</v>
      </c>
      <c r="H488" s="18" cm="1">
        <f t="array" ref="H488">_xlfn.XLOOKUP(A488&amp;C488, Лист2!$A$2:$A$505&amp;Лист2!$B$2:$B$505, Лист2!$E$2:$E$505)</f>
        <v>13386</v>
      </c>
      <c r="I488" s="16">
        <f t="shared" si="15"/>
        <v>3933.9406779661017</v>
      </c>
    </row>
    <row r="489" spans="1:9" ht="14.25" customHeight="1" x14ac:dyDescent="0.3">
      <c r="A489" s="8">
        <v>43969</v>
      </c>
      <c r="B489">
        <f t="shared" si="14"/>
        <v>21</v>
      </c>
      <c r="C489" s="9" t="s">
        <v>22</v>
      </c>
      <c r="D489" s="9">
        <v>196560</v>
      </c>
      <c r="E489" s="9">
        <v>19855122</v>
      </c>
      <c r="F489" s="7" cm="1">
        <f t="array" ref="F489">_xlfn.XLOOKUP(A489&amp;C489, Лист2!$A$2:$A$505&amp;Лист2!$B$2:$B$505, Лист2!$C$2:$C$505)</f>
        <v>54</v>
      </c>
      <c r="G489" s="15" cm="1">
        <f t="array" ref="G489">_xlfn.XLOOKUP(A489&amp;C489, Лист2!$A$2:$A$505&amp;Лист2!$B$2:$B$505, Лист2!$D$2:$D$505)</f>
        <v>12012</v>
      </c>
      <c r="H489" s="18" cm="1">
        <f t="array" ref="H489">_xlfn.XLOOKUP(A489&amp;C489, Лист2!$A$2:$A$505&amp;Лист2!$B$2:$B$505, Лист2!$E$2:$E$505)</f>
        <v>11308</v>
      </c>
      <c r="I489" s="16">
        <f t="shared" si="15"/>
        <v>3640</v>
      </c>
    </row>
    <row r="490" spans="1:9" ht="14.25" customHeight="1" x14ac:dyDescent="0.3">
      <c r="A490" s="5">
        <v>43965</v>
      </c>
      <c r="B490">
        <f t="shared" si="14"/>
        <v>20</v>
      </c>
      <c r="C490" s="6" t="s">
        <v>22</v>
      </c>
      <c r="D490" s="6">
        <v>186496.5</v>
      </c>
      <c r="E490" s="6">
        <v>18640998</v>
      </c>
      <c r="F490" s="7" cm="1">
        <f t="array" ref="F490">_xlfn.XLOOKUP(A490&amp;C490, Лист2!$A$2:$A$505&amp;Лист2!$B$2:$B$505, Лист2!$C$2:$C$505)</f>
        <v>54</v>
      </c>
      <c r="G490" s="15" cm="1">
        <f t="array" ref="G490">_xlfn.XLOOKUP(A490&amp;C490, Лист2!$A$2:$A$505&amp;Лист2!$B$2:$B$505, Лист2!$D$2:$D$505)</f>
        <v>11194</v>
      </c>
      <c r="H490" s="18" cm="1">
        <f t="array" ref="H490">_xlfn.XLOOKUP(A490&amp;C490, Лист2!$A$2:$A$505&amp;Лист2!$B$2:$B$505, Лист2!$E$2:$E$505)</f>
        <v>10554</v>
      </c>
      <c r="I490" s="16">
        <f t="shared" si="15"/>
        <v>3453.6388888888887</v>
      </c>
    </row>
    <row r="491" spans="1:9" ht="14.25" customHeight="1" x14ac:dyDescent="0.3">
      <c r="A491" s="8">
        <v>43966</v>
      </c>
      <c r="B491">
        <f t="shared" si="14"/>
        <v>20</v>
      </c>
      <c r="C491" s="9" t="s">
        <v>22</v>
      </c>
      <c r="D491" s="9">
        <v>219772.5</v>
      </c>
      <c r="E491" s="9">
        <v>21895294.5</v>
      </c>
      <c r="F491" s="7" cm="1">
        <f t="array" ref="F491">_xlfn.XLOOKUP(A491&amp;C491, Лист2!$A$2:$A$505&amp;Лист2!$B$2:$B$505, Лист2!$C$2:$C$505)</f>
        <v>54</v>
      </c>
      <c r="G491" s="15" cm="1">
        <f t="array" ref="G491">_xlfn.XLOOKUP(A491&amp;C491, Лист2!$A$2:$A$505&amp;Лист2!$B$2:$B$505, Лист2!$D$2:$D$505)</f>
        <v>12791</v>
      </c>
      <c r="H491" s="18" cm="1">
        <f t="array" ref="H491">_xlfn.XLOOKUP(A491&amp;C491, Лист2!$A$2:$A$505&amp;Лист2!$B$2:$B$505, Лист2!$E$2:$E$505)</f>
        <v>11950</v>
      </c>
      <c r="I491" s="16">
        <f t="shared" si="15"/>
        <v>4069.8611111111113</v>
      </c>
    </row>
    <row r="492" spans="1:9" ht="14.25" customHeight="1" x14ac:dyDescent="0.3">
      <c r="A492" s="5">
        <v>43980</v>
      </c>
      <c r="B492">
        <f t="shared" si="14"/>
        <v>22</v>
      </c>
      <c r="C492" s="6" t="s">
        <v>22</v>
      </c>
      <c r="D492" s="6">
        <v>226476</v>
      </c>
      <c r="E492" s="6">
        <v>22416151.5</v>
      </c>
      <c r="F492" s="7" cm="1">
        <f t="array" ref="F492">_xlfn.XLOOKUP(A492&amp;C492, Лист2!$A$2:$A$505&amp;Лист2!$B$2:$B$505, Лист2!$C$2:$C$505)</f>
        <v>54</v>
      </c>
      <c r="G492" s="15" cm="1">
        <f t="array" ref="G492">_xlfn.XLOOKUP(A492&amp;C492, Лист2!$A$2:$A$505&amp;Лист2!$B$2:$B$505, Лист2!$D$2:$D$505)</f>
        <v>14031</v>
      </c>
      <c r="H492" s="18" cm="1">
        <f t="array" ref="H492">_xlfn.XLOOKUP(A492&amp;C492, Лист2!$A$2:$A$505&amp;Лист2!$B$2:$B$505, Лист2!$E$2:$E$505)</f>
        <v>12943</v>
      </c>
      <c r="I492" s="16">
        <f t="shared" si="15"/>
        <v>4194</v>
      </c>
    </row>
    <row r="493" spans="1:9" ht="14.25" customHeight="1" x14ac:dyDescent="0.3">
      <c r="A493" s="8">
        <v>43978</v>
      </c>
      <c r="B493">
        <f t="shared" si="14"/>
        <v>22</v>
      </c>
      <c r="C493" s="9" t="s">
        <v>24</v>
      </c>
      <c r="D493" s="9">
        <v>8362.5</v>
      </c>
      <c r="E493" s="9">
        <v>687684</v>
      </c>
      <c r="F493" s="7" cm="1">
        <f t="array" ref="F493">_xlfn.XLOOKUP(A493&amp;C493, Лист2!$A$2:$A$505&amp;Лист2!$B$2:$B$505, Лист2!$C$2:$C$505)</f>
        <v>7</v>
      </c>
      <c r="G493" s="15" cm="1">
        <f t="array" ref="G493">_xlfn.XLOOKUP(A493&amp;C493, Лист2!$A$2:$A$505&amp;Лист2!$B$2:$B$505, Лист2!$D$2:$D$505)</f>
        <v>409</v>
      </c>
      <c r="H493" s="18" cm="1">
        <f t="array" ref="H493">_xlfn.XLOOKUP(A493&amp;C493, Лист2!$A$2:$A$505&amp;Лист2!$B$2:$B$505, Лист2!$E$2:$E$505)</f>
        <v>329</v>
      </c>
      <c r="I493" s="16">
        <f t="shared" si="15"/>
        <v>1194.6428571428571</v>
      </c>
    </row>
    <row r="494" spans="1:9" ht="14.25" customHeight="1" x14ac:dyDescent="0.3">
      <c r="A494" s="5">
        <v>43973</v>
      </c>
      <c r="B494">
        <f t="shared" si="14"/>
        <v>21</v>
      </c>
      <c r="C494" s="6" t="s">
        <v>23</v>
      </c>
      <c r="D494" s="6">
        <v>17008.5</v>
      </c>
      <c r="E494" s="6">
        <v>1398771</v>
      </c>
      <c r="F494" s="7" cm="1">
        <f t="array" ref="F494">_xlfn.XLOOKUP(A494&amp;C494, Лист2!$A$2:$A$505&amp;Лист2!$B$2:$B$505, Лист2!$C$2:$C$505)</f>
        <v>18</v>
      </c>
      <c r="G494" s="15" cm="1">
        <f t="array" ref="G494">_xlfn.XLOOKUP(A494&amp;C494, Лист2!$A$2:$A$505&amp;Лист2!$B$2:$B$505, Лист2!$D$2:$D$505)</f>
        <v>985</v>
      </c>
      <c r="H494" s="18" cm="1">
        <f t="array" ref="H494">_xlfn.XLOOKUP(A494&amp;C494, Лист2!$A$2:$A$505&amp;Лист2!$B$2:$B$505, Лист2!$E$2:$E$505)</f>
        <v>861</v>
      </c>
      <c r="I494" s="16">
        <f t="shared" si="15"/>
        <v>944.91666666666663</v>
      </c>
    </row>
    <row r="495" spans="1:9" ht="14.25" customHeight="1" x14ac:dyDescent="0.3">
      <c r="A495" s="8">
        <v>43983</v>
      </c>
      <c r="B495">
        <f t="shared" si="14"/>
        <v>23</v>
      </c>
      <c r="C495" s="9" t="s">
        <v>25</v>
      </c>
      <c r="D495" s="9">
        <v>5166</v>
      </c>
      <c r="E495" s="9">
        <v>389013</v>
      </c>
      <c r="F495" s="7" cm="1">
        <f t="array" ref="F495">_xlfn.XLOOKUP(A495&amp;C495, Лист2!$A$2:$A$505&amp;Лист2!$B$2:$B$505, Лист2!$C$2:$C$505)</f>
        <v>9</v>
      </c>
      <c r="G495" s="15" cm="1">
        <f t="array" ref="G495">_xlfn.XLOOKUP(A495&amp;C495, Лист2!$A$2:$A$505&amp;Лист2!$B$2:$B$505, Лист2!$D$2:$D$505)</f>
        <v>294</v>
      </c>
      <c r="H495" s="18" cm="1">
        <f t="array" ref="H495">_xlfn.XLOOKUP(A495&amp;C495, Лист2!$A$2:$A$505&amp;Лист2!$B$2:$B$505, Лист2!$E$2:$E$505)</f>
        <v>224</v>
      </c>
      <c r="I495" s="16">
        <f t="shared" si="15"/>
        <v>574</v>
      </c>
    </row>
    <row r="496" spans="1:9" ht="14.25" customHeight="1" x14ac:dyDescent="0.3">
      <c r="A496" s="5">
        <v>43962</v>
      </c>
      <c r="B496">
        <f t="shared" si="14"/>
        <v>20</v>
      </c>
      <c r="C496" s="6" t="s">
        <v>23</v>
      </c>
      <c r="D496" s="6">
        <v>10941</v>
      </c>
      <c r="E496" s="6">
        <v>880356</v>
      </c>
      <c r="F496" s="7" cm="1">
        <f t="array" ref="F496">_xlfn.XLOOKUP(A496&amp;C496, Лист2!$A$2:$A$505&amp;Лист2!$B$2:$B$505, Лист2!$C$2:$C$505)</f>
        <v>15</v>
      </c>
      <c r="G496" s="15" cm="1">
        <f t="array" ref="G496">_xlfn.XLOOKUP(A496&amp;C496, Лист2!$A$2:$A$505&amp;Лист2!$B$2:$B$505, Лист2!$D$2:$D$505)</f>
        <v>654</v>
      </c>
      <c r="H496" s="18" cm="1">
        <f t="array" ref="H496">_xlfn.XLOOKUP(A496&amp;C496, Лист2!$A$2:$A$505&amp;Лист2!$B$2:$B$505, Лист2!$E$2:$E$505)</f>
        <v>564</v>
      </c>
      <c r="I496" s="16">
        <f t="shared" si="15"/>
        <v>729.4</v>
      </c>
    </row>
    <row r="497" spans="1:9" ht="14.25" customHeight="1" x14ac:dyDescent="0.3">
      <c r="A497" s="8">
        <v>43969</v>
      </c>
      <c r="B497">
        <f t="shared" si="14"/>
        <v>21</v>
      </c>
      <c r="C497" s="9" t="s">
        <v>23</v>
      </c>
      <c r="D497" s="9">
        <v>14497.5</v>
      </c>
      <c r="E497" s="9">
        <v>1230711</v>
      </c>
      <c r="F497" s="7" cm="1">
        <f t="array" ref="F497">_xlfn.XLOOKUP(A497&amp;C497, Лист2!$A$2:$A$505&amp;Лист2!$B$2:$B$505, Лист2!$C$2:$C$505)</f>
        <v>16</v>
      </c>
      <c r="G497" s="15" cm="1">
        <f t="array" ref="G497">_xlfn.XLOOKUP(A497&amp;C497, Лист2!$A$2:$A$505&amp;Лист2!$B$2:$B$505, Лист2!$D$2:$D$505)</f>
        <v>864</v>
      </c>
      <c r="H497" s="18" cm="1">
        <f t="array" ref="H497">_xlfn.XLOOKUP(A497&amp;C497, Лист2!$A$2:$A$505&amp;Лист2!$B$2:$B$505, Лист2!$E$2:$E$505)</f>
        <v>765</v>
      </c>
      <c r="I497" s="16">
        <f t="shared" si="15"/>
        <v>906.09375</v>
      </c>
    </row>
    <row r="498" spans="1:9" ht="14.25" customHeight="1" x14ac:dyDescent="0.3">
      <c r="A498" s="5">
        <v>43965</v>
      </c>
      <c r="B498">
        <f t="shared" si="14"/>
        <v>20</v>
      </c>
      <c r="C498" s="6" t="s">
        <v>23</v>
      </c>
      <c r="D498" s="6">
        <v>13810.5</v>
      </c>
      <c r="E498" s="6">
        <v>1131676.5</v>
      </c>
      <c r="F498" s="7" cm="1">
        <f t="array" ref="F498">_xlfn.XLOOKUP(A498&amp;C498, Лист2!$A$2:$A$505&amp;Лист2!$B$2:$B$505, Лист2!$C$2:$C$505)</f>
        <v>16</v>
      </c>
      <c r="G498" s="15" cm="1">
        <f t="array" ref="G498">_xlfn.XLOOKUP(A498&amp;C498, Лист2!$A$2:$A$505&amp;Лист2!$B$2:$B$505, Лист2!$D$2:$D$505)</f>
        <v>834</v>
      </c>
      <c r="H498" s="18" cm="1">
        <f t="array" ref="H498">_xlfn.XLOOKUP(A498&amp;C498, Лист2!$A$2:$A$505&amp;Лист2!$B$2:$B$505, Лист2!$E$2:$E$505)</f>
        <v>735</v>
      </c>
      <c r="I498" s="16">
        <f t="shared" si="15"/>
        <v>863.15625</v>
      </c>
    </row>
    <row r="499" spans="1:9" ht="14.25" customHeight="1" x14ac:dyDescent="0.3">
      <c r="A499" s="8">
        <v>43966</v>
      </c>
      <c r="B499">
        <f t="shared" si="14"/>
        <v>20</v>
      </c>
      <c r="C499" s="9" t="s">
        <v>23</v>
      </c>
      <c r="D499" s="9">
        <v>13752</v>
      </c>
      <c r="E499" s="9">
        <v>1091040</v>
      </c>
      <c r="F499" s="7" cm="1">
        <f t="array" ref="F499">_xlfn.XLOOKUP(A499&amp;C499, Лист2!$A$2:$A$505&amp;Лист2!$B$2:$B$505, Лист2!$C$2:$C$505)</f>
        <v>16</v>
      </c>
      <c r="G499" s="15" cm="1">
        <f t="array" ref="G499">_xlfn.XLOOKUP(A499&amp;C499, Лист2!$A$2:$A$505&amp;Лист2!$B$2:$B$505, Лист2!$D$2:$D$505)</f>
        <v>817</v>
      </c>
      <c r="H499" s="18" cm="1">
        <f t="array" ref="H499">_xlfn.XLOOKUP(A499&amp;C499, Лист2!$A$2:$A$505&amp;Лист2!$B$2:$B$505, Лист2!$E$2:$E$505)</f>
        <v>718</v>
      </c>
      <c r="I499" s="16">
        <f t="shared" si="15"/>
        <v>859.5</v>
      </c>
    </row>
    <row r="500" spans="1:9" ht="14.25" customHeight="1" x14ac:dyDescent="0.3">
      <c r="A500" s="5">
        <v>43978</v>
      </c>
      <c r="B500">
        <f t="shared" si="14"/>
        <v>22</v>
      </c>
      <c r="C500" s="6" t="s">
        <v>23</v>
      </c>
      <c r="D500" s="6">
        <v>15276</v>
      </c>
      <c r="E500" s="6">
        <v>1350199.5</v>
      </c>
      <c r="F500" s="7" cm="1">
        <f t="array" ref="F500">_xlfn.XLOOKUP(A500&amp;C500, Лист2!$A$2:$A$505&amp;Лист2!$B$2:$B$505, Лист2!$C$2:$C$505)</f>
        <v>18</v>
      </c>
      <c r="G500" s="15" cm="1">
        <f t="array" ref="G500">_xlfn.XLOOKUP(A500&amp;C500, Лист2!$A$2:$A$505&amp;Лист2!$B$2:$B$505, Лист2!$D$2:$D$505)</f>
        <v>962</v>
      </c>
      <c r="H500" s="18" cm="1">
        <f t="array" ref="H500">_xlfn.XLOOKUP(A500&amp;C500, Лист2!$A$2:$A$505&amp;Лист2!$B$2:$B$505, Лист2!$E$2:$E$505)</f>
        <v>859</v>
      </c>
      <c r="I500" s="16">
        <f t="shared" si="15"/>
        <v>848.66666666666663</v>
      </c>
    </row>
    <row r="501" spans="1:9" ht="14.25" customHeight="1" x14ac:dyDescent="0.3">
      <c r="A501" s="8">
        <v>43983</v>
      </c>
      <c r="B501">
        <f t="shared" si="14"/>
        <v>23</v>
      </c>
      <c r="C501" s="9" t="s">
        <v>26</v>
      </c>
      <c r="D501" s="9">
        <v>4408.5</v>
      </c>
      <c r="E501" s="9">
        <v>410892</v>
      </c>
      <c r="F501" s="7" cm="1">
        <f t="array" ref="F501">_xlfn.XLOOKUP(A501&amp;C501, Лист2!$A$2:$A$505&amp;Лист2!$B$2:$B$505, Лист2!$C$2:$C$505)</f>
        <v>6</v>
      </c>
      <c r="G501" s="15" cm="1">
        <f t="array" ref="G501">_xlfn.XLOOKUP(A501&amp;C501, Лист2!$A$2:$A$505&amp;Лист2!$B$2:$B$505, Лист2!$D$2:$D$505)</f>
        <v>237</v>
      </c>
      <c r="H501" s="18" cm="1">
        <f t="array" ref="H501">_xlfn.XLOOKUP(A501&amp;C501, Лист2!$A$2:$A$505&amp;Лист2!$B$2:$B$505, Лист2!$E$2:$E$505)</f>
        <v>175</v>
      </c>
      <c r="I501" s="16">
        <f t="shared" si="15"/>
        <v>734.75</v>
      </c>
    </row>
    <row r="502" spans="1:9" ht="14.25" customHeight="1" x14ac:dyDescent="0.3">
      <c r="A502" s="5">
        <v>43980</v>
      </c>
      <c r="B502">
        <f t="shared" si="14"/>
        <v>22</v>
      </c>
      <c r="C502" s="6" t="s">
        <v>24</v>
      </c>
      <c r="D502" s="6">
        <v>9927</v>
      </c>
      <c r="E502" s="6">
        <v>850840.5</v>
      </c>
      <c r="F502" s="7" cm="1">
        <f t="array" ref="F502">_xlfn.XLOOKUP(A502&amp;C502, Лист2!$A$2:$A$505&amp;Лист2!$B$2:$B$505, Лист2!$C$2:$C$505)</f>
        <v>7</v>
      </c>
      <c r="G502" s="15" cm="1">
        <f t="array" ref="G502">_xlfn.XLOOKUP(A502&amp;C502, Лист2!$A$2:$A$505&amp;Лист2!$B$2:$B$505, Лист2!$D$2:$D$505)</f>
        <v>491</v>
      </c>
      <c r="H502" s="18" cm="1">
        <f t="array" ref="H502">_xlfn.XLOOKUP(A502&amp;C502, Лист2!$A$2:$A$505&amp;Лист2!$B$2:$B$505, Лист2!$E$2:$E$505)</f>
        <v>411</v>
      </c>
      <c r="I502" s="16">
        <f t="shared" si="15"/>
        <v>1418.1428571428571</v>
      </c>
    </row>
    <row r="503" spans="1:9" ht="14.25" customHeight="1" x14ac:dyDescent="0.3">
      <c r="A503" s="8">
        <v>43983</v>
      </c>
      <c r="B503">
        <f t="shared" si="14"/>
        <v>23</v>
      </c>
      <c r="C503" s="9" t="s">
        <v>24</v>
      </c>
      <c r="D503" s="9">
        <v>9474</v>
      </c>
      <c r="E503" s="9">
        <v>802447.5</v>
      </c>
      <c r="F503" s="7" cm="1">
        <f t="array" ref="F503">_xlfn.XLOOKUP(A503&amp;C503, Лист2!$A$2:$A$505&amp;Лист2!$B$2:$B$505, Лист2!$C$2:$C$505)</f>
        <v>7</v>
      </c>
      <c r="G503" s="15" cm="1">
        <f t="array" ref="G503">_xlfn.XLOOKUP(A503&amp;C503, Лист2!$A$2:$A$505&amp;Лист2!$B$2:$B$505, Лист2!$D$2:$D$505)</f>
        <v>500</v>
      </c>
      <c r="H503" s="18" cm="1">
        <f t="array" ref="H503">_xlfn.XLOOKUP(A503&amp;C503, Лист2!$A$2:$A$505&amp;Лист2!$B$2:$B$505, Лист2!$E$2:$E$505)</f>
        <v>418</v>
      </c>
      <c r="I503" s="16">
        <f t="shared" si="15"/>
        <v>1353.4285714285713</v>
      </c>
    </row>
    <row r="504" spans="1:9" ht="14.25" customHeight="1" x14ac:dyDescent="0.3">
      <c r="A504" s="5">
        <v>43980</v>
      </c>
      <c r="B504">
        <f t="shared" si="14"/>
        <v>22</v>
      </c>
      <c r="C504" s="6" t="s">
        <v>23</v>
      </c>
      <c r="D504" s="6">
        <v>16878</v>
      </c>
      <c r="E504" s="6">
        <v>1438255.5</v>
      </c>
      <c r="F504" s="7" cm="1">
        <f t="array" ref="F504">_xlfn.XLOOKUP(A504&amp;C504, Лист2!$A$2:$A$505&amp;Лист2!$B$2:$B$505, Лист2!$C$2:$C$505)</f>
        <v>18</v>
      </c>
      <c r="G504" s="15" cm="1">
        <f t="array" ref="G504">_xlfn.XLOOKUP(A504&amp;C504, Лист2!$A$2:$A$505&amp;Лист2!$B$2:$B$505, Лист2!$D$2:$D$505)</f>
        <v>1014</v>
      </c>
      <c r="H504" s="18" cm="1">
        <f t="array" ref="H504">_xlfn.XLOOKUP(A504&amp;C504, Лист2!$A$2:$A$505&amp;Лист2!$B$2:$B$505, Лист2!$E$2:$E$505)</f>
        <v>893</v>
      </c>
      <c r="I504" s="16">
        <f t="shared" si="15"/>
        <v>937.66666666666663</v>
      </c>
    </row>
    <row r="505" spans="1:9" ht="14.25" customHeight="1" x14ac:dyDescent="0.3">
      <c r="A505" s="10">
        <v>43983</v>
      </c>
      <c r="B505">
        <f t="shared" si="14"/>
        <v>23</v>
      </c>
      <c r="C505" s="11" t="s">
        <v>23</v>
      </c>
      <c r="D505" s="11">
        <v>14238</v>
      </c>
      <c r="E505" s="11">
        <v>1293219</v>
      </c>
      <c r="F505" s="7" cm="1">
        <f t="array" ref="F505">_xlfn.XLOOKUP(A505&amp;C505, Лист2!$A$2:$A$505&amp;Лист2!$B$2:$B$505, Лист2!$C$2:$C$505)</f>
        <v>18</v>
      </c>
      <c r="G505" s="15" cm="1">
        <f t="array" ref="G505">_xlfn.XLOOKUP(A505&amp;C505, Лист2!$A$2:$A$505&amp;Лист2!$B$2:$B$505, Лист2!$D$2:$D$505)</f>
        <v>923</v>
      </c>
      <c r="H505" s="18" cm="1">
        <f t="array" ref="H505">_xlfn.XLOOKUP(A505&amp;C505, Лист2!$A$2:$A$505&amp;Лист2!$B$2:$B$505, Лист2!$E$2:$E$505)</f>
        <v>824</v>
      </c>
      <c r="I505" s="16">
        <f t="shared" si="15"/>
        <v>791</v>
      </c>
    </row>
    <row r="506" spans="1:9" ht="14.25" customHeight="1" x14ac:dyDescent="0.3"/>
    <row r="507" spans="1:9" ht="14.25" customHeight="1" x14ac:dyDescent="0.3"/>
    <row r="508" spans="1:9" ht="14.25" customHeight="1" x14ac:dyDescent="0.3"/>
    <row r="509" spans="1:9" ht="14.25" customHeight="1" x14ac:dyDescent="0.3"/>
    <row r="510" spans="1:9" ht="14.25" customHeight="1" x14ac:dyDescent="0.3"/>
    <row r="511" spans="1:9" ht="14.25" customHeight="1" x14ac:dyDescent="0.3"/>
    <row r="512" spans="1:9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topLeftCell="A493" workbookViewId="0">
      <selection activeCell="G6" sqref="G6"/>
    </sheetView>
  </sheetViews>
  <sheetFormatPr defaultColWidth="14.44140625" defaultRowHeight="15" customHeight="1" x14ac:dyDescent="0.3"/>
  <cols>
    <col min="1" max="1" width="10.44140625" customWidth="1"/>
    <col min="2" max="2" width="22.88671875" customWidth="1"/>
    <col min="3" max="3" width="22.6640625" customWidth="1"/>
    <col min="4" max="4" width="22.109375" customWidth="1"/>
    <col min="5" max="5" width="25.44140625" customWidth="1"/>
    <col min="6" max="26" width="8.6640625" customWidth="1"/>
  </cols>
  <sheetData>
    <row r="1" spans="1:5" ht="14.25" customHeight="1" x14ac:dyDescent="0.3">
      <c r="A1" s="3" t="s">
        <v>0</v>
      </c>
      <c r="B1" s="3" t="s">
        <v>1</v>
      </c>
      <c r="C1" s="3" t="s">
        <v>4</v>
      </c>
      <c r="D1" s="3" t="s">
        <v>5</v>
      </c>
      <c r="E1" s="3" t="s">
        <v>6</v>
      </c>
    </row>
    <row r="2" spans="1:5" ht="14.25" customHeight="1" x14ac:dyDescent="0.3">
      <c r="A2" s="12">
        <v>43949</v>
      </c>
      <c r="B2" s="7" t="s">
        <v>16</v>
      </c>
      <c r="C2" s="7">
        <v>36</v>
      </c>
      <c r="D2" s="7">
        <v>4923</v>
      </c>
      <c r="E2" s="7">
        <v>4560</v>
      </c>
    </row>
    <row r="3" spans="1:5" ht="14.25" customHeight="1" x14ac:dyDescent="0.3">
      <c r="A3" s="12">
        <v>43949</v>
      </c>
      <c r="B3" s="7" t="s">
        <v>11</v>
      </c>
      <c r="C3" s="7">
        <v>31</v>
      </c>
      <c r="D3" s="7">
        <v>5465</v>
      </c>
      <c r="E3" s="7">
        <v>5096</v>
      </c>
    </row>
    <row r="4" spans="1:5" ht="14.25" customHeight="1" x14ac:dyDescent="0.3">
      <c r="A4" s="12">
        <v>43949</v>
      </c>
      <c r="B4" s="7" t="s">
        <v>17</v>
      </c>
      <c r="C4" s="7">
        <v>19</v>
      </c>
      <c r="D4" s="7">
        <v>1846</v>
      </c>
      <c r="E4" s="7">
        <v>1681</v>
      </c>
    </row>
    <row r="5" spans="1:5" ht="14.25" customHeight="1" x14ac:dyDescent="0.3">
      <c r="A5" s="12">
        <v>43949</v>
      </c>
      <c r="B5" s="7" t="s">
        <v>10</v>
      </c>
      <c r="C5" s="7">
        <v>18</v>
      </c>
      <c r="D5" s="7">
        <v>1539</v>
      </c>
      <c r="E5" s="7">
        <v>1404</v>
      </c>
    </row>
    <row r="6" spans="1:5" ht="14.25" customHeight="1" x14ac:dyDescent="0.3">
      <c r="A6" s="12">
        <v>43949</v>
      </c>
      <c r="B6" s="7" t="s">
        <v>20</v>
      </c>
      <c r="C6" s="7">
        <v>18</v>
      </c>
      <c r="D6" s="7">
        <v>1505</v>
      </c>
      <c r="E6" s="7">
        <v>1368</v>
      </c>
    </row>
    <row r="7" spans="1:5" ht="14.25" customHeight="1" x14ac:dyDescent="0.3">
      <c r="A7" s="12">
        <v>43949</v>
      </c>
      <c r="B7" s="7" t="s">
        <v>22</v>
      </c>
      <c r="C7" s="7">
        <v>54</v>
      </c>
      <c r="D7" s="7">
        <v>12306</v>
      </c>
      <c r="E7" s="7">
        <v>11532</v>
      </c>
    </row>
    <row r="8" spans="1:5" ht="14.25" customHeight="1" x14ac:dyDescent="0.3">
      <c r="A8" s="12">
        <v>43949</v>
      </c>
      <c r="B8" s="7" t="s">
        <v>21</v>
      </c>
      <c r="C8" s="7">
        <v>59</v>
      </c>
      <c r="D8" s="7">
        <v>12943</v>
      </c>
      <c r="E8" s="7">
        <v>12072</v>
      </c>
    </row>
    <row r="9" spans="1:5" ht="14.25" customHeight="1" x14ac:dyDescent="0.3">
      <c r="A9" s="12">
        <v>43949</v>
      </c>
      <c r="B9" s="7" t="s">
        <v>13</v>
      </c>
      <c r="C9" s="7">
        <v>17</v>
      </c>
      <c r="D9" s="7">
        <v>1439</v>
      </c>
      <c r="E9" s="7">
        <v>1265</v>
      </c>
    </row>
    <row r="10" spans="1:5" ht="14.25" customHeight="1" x14ac:dyDescent="0.3">
      <c r="A10" s="12">
        <v>43949</v>
      </c>
      <c r="B10" s="7" t="s">
        <v>23</v>
      </c>
      <c r="C10" s="7">
        <v>15</v>
      </c>
      <c r="D10" s="7">
        <v>636</v>
      </c>
      <c r="E10" s="7">
        <v>547</v>
      </c>
    </row>
    <row r="11" spans="1:5" ht="14.25" customHeight="1" x14ac:dyDescent="0.3">
      <c r="A11" s="12">
        <v>43949</v>
      </c>
      <c r="B11" s="7" t="s">
        <v>18</v>
      </c>
      <c r="C11" s="7">
        <v>15</v>
      </c>
      <c r="D11" s="7">
        <v>780</v>
      </c>
      <c r="E11" s="7">
        <v>690</v>
      </c>
    </row>
    <row r="12" spans="1:5" ht="14.25" customHeight="1" x14ac:dyDescent="0.3">
      <c r="A12" s="12">
        <v>43949</v>
      </c>
      <c r="B12" s="7" t="s">
        <v>15</v>
      </c>
      <c r="C12" s="7">
        <v>125</v>
      </c>
      <c r="D12" s="7">
        <v>20914</v>
      </c>
      <c r="E12" s="7">
        <v>19479</v>
      </c>
    </row>
    <row r="13" spans="1:5" ht="14.25" customHeight="1" x14ac:dyDescent="0.3">
      <c r="A13" s="12">
        <v>43949</v>
      </c>
      <c r="B13" s="7" t="s">
        <v>14</v>
      </c>
      <c r="C13" s="7">
        <v>128</v>
      </c>
      <c r="D13" s="7">
        <v>16450</v>
      </c>
      <c r="E13" s="7">
        <v>15320</v>
      </c>
    </row>
    <row r="14" spans="1:5" ht="14.25" customHeight="1" x14ac:dyDescent="0.3">
      <c r="A14" s="12">
        <v>43949</v>
      </c>
      <c r="B14" s="7" t="s">
        <v>12</v>
      </c>
      <c r="C14" s="7">
        <v>10</v>
      </c>
      <c r="D14" s="7">
        <v>580</v>
      </c>
      <c r="E14" s="7">
        <v>506</v>
      </c>
    </row>
    <row r="15" spans="1:5" ht="14.25" customHeight="1" x14ac:dyDescent="0.3">
      <c r="A15" s="12">
        <v>43950</v>
      </c>
      <c r="B15" s="7" t="s">
        <v>16</v>
      </c>
      <c r="C15" s="7">
        <v>36</v>
      </c>
      <c r="D15" s="7">
        <v>4937</v>
      </c>
      <c r="E15" s="7">
        <v>4561</v>
      </c>
    </row>
    <row r="16" spans="1:5" ht="14.25" customHeight="1" x14ac:dyDescent="0.3">
      <c r="A16" s="12">
        <v>43950</v>
      </c>
      <c r="B16" s="7" t="s">
        <v>11</v>
      </c>
      <c r="C16" s="7">
        <v>31</v>
      </c>
      <c r="D16" s="7">
        <v>5378</v>
      </c>
      <c r="E16" s="7">
        <v>4985</v>
      </c>
    </row>
    <row r="17" spans="1:5" ht="14.25" customHeight="1" x14ac:dyDescent="0.3">
      <c r="A17" s="12">
        <v>43950</v>
      </c>
      <c r="B17" s="7" t="s">
        <v>17</v>
      </c>
      <c r="C17" s="7">
        <v>19</v>
      </c>
      <c r="D17" s="7">
        <v>1676</v>
      </c>
      <c r="E17" s="7">
        <v>1516</v>
      </c>
    </row>
    <row r="18" spans="1:5" ht="14.25" customHeight="1" x14ac:dyDescent="0.3">
      <c r="A18" s="12">
        <v>43950</v>
      </c>
      <c r="B18" s="7" t="s">
        <v>10</v>
      </c>
      <c r="C18" s="7">
        <v>18</v>
      </c>
      <c r="D18" s="7">
        <v>1684</v>
      </c>
      <c r="E18" s="7">
        <v>1528</v>
      </c>
    </row>
    <row r="19" spans="1:5" ht="14.25" customHeight="1" x14ac:dyDescent="0.3">
      <c r="A19" s="12">
        <v>43950</v>
      </c>
      <c r="B19" s="7" t="s">
        <v>20</v>
      </c>
      <c r="C19" s="7">
        <v>18</v>
      </c>
      <c r="D19" s="7">
        <v>1599</v>
      </c>
      <c r="E19" s="7">
        <v>1450</v>
      </c>
    </row>
    <row r="20" spans="1:5" ht="14.25" customHeight="1" x14ac:dyDescent="0.3">
      <c r="A20" s="12">
        <v>43950</v>
      </c>
      <c r="B20" s="7" t="s">
        <v>22</v>
      </c>
      <c r="C20" s="7">
        <v>54</v>
      </c>
      <c r="D20" s="7">
        <v>12747</v>
      </c>
      <c r="E20" s="7">
        <v>11884</v>
      </c>
    </row>
    <row r="21" spans="1:5" ht="14.25" customHeight="1" x14ac:dyDescent="0.3">
      <c r="A21" s="12">
        <v>43950</v>
      </c>
      <c r="B21" s="7" t="s">
        <v>21</v>
      </c>
      <c r="C21" s="7">
        <v>59</v>
      </c>
      <c r="D21" s="7">
        <v>13186</v>
      </c>
      <c r="E21" s="7">
        <v>12251</v>
      </c>
    </row>
    <row r="22" spans="1:5" ht="14.25" customHeight="1" x14ac:dyDescent="0.3">
      <c r="A22" s="12">
        <v>43950</v>
      </c>
      <c r="B22" s="7" t="s">
        <v>13</v>
      </c>
      <c r="C22" s="7">
        <v>18</v>
      </c>
      <c r="D22" s="7">
        <v>1534</v>
      </c>
      <c r="E22" s="7">
        <v>1369</v>
      </c>
    </row>
    <row r="23" spans="1:5" ht="14.25" customHeight="1" x14ac:dyDescent="0.3">
      <c r="A23" s="12">
        <v>43950</v>
      </c>
      <c r="B23" s="7" t="s">
        <v>23</v>
      </c>
      <c r="C23" s="7">
        <v>15</v>
      </c>
      <c r="D23" s="7">
        <v>659</v>
      </c>
      <c r="E23" s="7">
        <v>575</v>
      </c>
    </row>
    <row r="24" spans="1:5" ht="14.25" customHeight="1" x14ac:dyDescent="0.3">
      <c r="A24" s="12">
        <v>43950</v>
      </c>
      <c r="B24" s="7" t="s">
        <v>18</v>
      </c>
      <c r="C24" s="7">
        <v>15</v>
      </c>
      <c r="D24" s="7">
        <v>786</v>
      </c>
      <c r="E24" s="7">
        <v>695</v>
      </c>
    </row>
    <row r="25" spans="1:5" ht="14.25" customHeight="1" x14ac:dyDescent="0.3">
      <c r="A25" s="12">
        <v>43950</v>
      </c>
      <c r="B25" s="7" t="s">
        <v>15</v>
      </c>
      <c r="C25" s="7">
        <v>125</v>
      </c>
      <c r="D25" s="7">
        <v>21863</v>
      </c>
      <c r="E25" s="7">
        <v>20160</v>
      </c>
    </row>
    <row r="26" spans="1:5" ht="14.25" customHeight="1" x14ac:dyDescent="0.3">
      <c r="A26" s="12">
        <v>43950</v>
      </c>
      <c r="B26" s="7" t="s">
        <v>14</v>
      </c>
      <c r="C26" s="7">
        <v>128</v>
      </c>
      <c r="D26" s="7">
        <v>17368</v>
      </c>
      <c r="E26" s="7">
        <v>16077</v>
      </c>
    </row>
    <row r="27" spans="1:5" ht="14.25" customHeight="1" x14ac:dyDescent="0.3">
      <c r="A27" s="12">
        <v>43950</v>
      </c>
      <c r="B27" s="7" t="s">
        <v>12</v>
      </c>
      <c r="C27" s="7">
        <v>10</v>
      </c>
      <c r="D27" s="7">
        <v>502</v>
      </c>
      <c r="E27" s="7">
        <v>433</v>
      </c>
    </row>
    <row r="28" spans="1:5" ht="14.25" customHeight="1" x14ac:dyDescent="0.3">
      <c r="A28" s="12">
        <v>43951</v>
      </c>
      <c r="B28" s="7" t="s">
        <v>16</v>
      </c>
      <c r="C28" s="7">
        <v>36</v>
      </c>
      <c r="D28" s="7">
        <v>5143</v>
      </c>
      <c r="E28" s="7">
        <v>4715</v>
      </c>
    </row>
    <row r="29" spans="1:5" ht="14.25" customHeight="1" x14ac:dyDescent="0.3">
      <c r="A29" s="12">
        <v>43951</v>
      </c>
      <c r="B29" s="7" t="s">
        <v>11</v>
      </c>
      <c r="C29" s="7">
        <v>31</v>
      </c>
      <c r="D29" s="7">
        <v>5120</v>
      </c>
      <c r="E29" s="7">
        <v>4737</v>
      </c>
    </row>
    <row r="30" spans="1:5" ht="14.25" customHeight="1" x14ac:dyDescent="0.3">
      <c r="A30" s="12">
        <v>43951</v>
      </c>
      <c r="B30" s="7" t="s">
        <v>17</v>
      </c>
      <c r="C30" s="7">
        <v>20</v>
      </c>
      <c r="D30" s="7">
        <v>1756</v>
      </c>
      <c r="E30" s="7">
        <v>1586</v>
      </c>
    </row>
    <row r="31" spans="1:5" ht="14.25" customHeight="1" x14ac:dyDescent="0.3">
      <c r="A31" s="12">
        <v>43951</v>
      </c>
      <c r="B31" s="7" t="s">
        <v>10</v>
      </c>
      <c r="C31" s="7">
        <v>19</v>
      </c>
      <c r="D31" s="7">
        <v>1712</v>
      </c>
      <c r="E31" s="7">
        <v>1552</v>
      </c>
    </row>
    <row r="32" spans="1:5" ht="14.25" customHeight="1" x14ac:dyDescent="0.3">
      <c r="A32" s="12">
        <v>43951</v>
      </c>
      <c r="B32" s="7" t="s">
        <v>20</v>
      </c>
      <c r="C32" s="7">
        <v>19</v>
      </c>
      <c r="D32" s="7">
        <v>1662</v>
      </c>
      <c r="E32" s="7">
        <v>1506</v>
      </c>
    </row>
    <row r="33" spans="1:5" ht="14.25" customHeight="1" x14ac:dyDescent="0.3">
      <c r="A33" s="12">
        <v>43951</v>
      </c>
      <c r="B33" s="7" t="s">
        <v>22</v>
      </c>
      <c r="C33" s="7">
        <v>54</v>
      </c>
      <c r="D33" s="7">
        <v>12817</v>
      </c>
      <c r="E33" s="7">
        <v>11865</v>
      </c>
    </row>
    <row r="34" spans="1:5" ht="14.25" customHeight="1" x14ac:dyDescent="0.3">
      <c r="A34" s="12">
        <v>43951</v>
      </c>
      <c r="B34" s="7" t="s">
        <v>21</v>
      </c>
      <c r="C34" s="7">
        <v>59</v>
      </c>
      <c r="D34" s="7">
        <v>13251</v>
      </c>
      <c r="E34" s="7">
        <v>12255</v>
      </c>
    </row>
    <row r="35" spans="1:5" ht="14.25" customHeight="1" x14ac:dyDescent="0.3">
      <c r="A35" s="12">
        <v>43951</v>
      </c>
      <c r="B35" s="7" t="s">
        <v>13</v>
      </c>
      <c r="C35" s="7">
        <v>19</v>
      </c>
      <c r="D35" s="7">
        <v>1499</v>
      </c>
      <c r="E35" s="7">
        <v>1322</v>
      </c>
    </row>
    <row r="36" spans="1:5" ht="14.25" customHeight="1" x14ac:dyDescent="0.3">
      <c r="A36" s="12">
        <v>43951</v>
      </c>
      <c r="B36" s="7" t="s">
        <v>23</v>
      </c>
      <c r="C36" s="7">
        <v>15</v>
      </c>
      <c r="D36" s="7">
        <v>644</v>
      </c>
      <c r="E36" s="7">
        <v>550</v>
      </c>
    </row>
    <row r="37" spans="1:5" ht="14.25" customHeight="1" x14ac:dyDescent="0.3">
      <c r="A37" s="12">
        <v>43951</v>
      </c>
      <c r="B37" s="7" t="s">
        <v>18</v>
      </c>
      <c r="C37" s="7">
        <v>15</v>
      </c>
      <c r="D37" s="7">
        <v>791</v>
      </c>
      <c r="E37" s="7">
        <v>691</v>
      </c>
    </row>
    <row r="38" spans="1:5" ht="14.25" customHeight="1" x14ac:dyDescent="0.3">
      <c r="A38" s="12">
        <v>43951</v>
      </c>
      <c r="B38" s="7" t="s">
        <v>19</v>
      </c>
      <c r="C38" s="7">
        <v>15</v>
      </c>
      <c r="D38" s="7">
        <v>262</v>
      </c>
      <c r="E38" s="7">
        <v>195</v>
      </c>
    </row>
    <row r="39" spans="1:5" ht="14.25" customHeight="1" x14ac:dyDescent="0.3">
      <c r="A39" s="12">
        <v>43951</v>
      </c>
      <c r="B39" s="7" t="s">
        <v>15</v>
      </c>
      <c r="C39" s="7">
        <v>125</v>
      </c>
      <c r="D39" s="7">
        <v>22368</v>
      </c>
      <c r="E39" s="7">
        <v>20625</v>
      </c>
    </row>
    <row r="40" spans="1:5" ht="14.25" customHeight="1" x14ac:dyDescent="0.3">
      <c r="A40" s="12">
        <v>43951</v>
      </c>
      <c r="B40" s="7" t="s">
        <v>14</v>
      </c>
      <c r="C40" s="7">
        <v>129</v>
      </c>
      <c r="D40" s="7">
        <v>18042</v>
      </c>
      <c r="E40" s="7">
        <v>16631</v>
      </c>
    </row>
    <row r="41" spans="1:5" ht="14.25" customHeight="1" x14ac:dyDescent="0.3">
      <c r="A41" s="12">
        <v>43951</v>
      </c>
      <c r="B41" s="7" t="s">
        <v>12</v>
      </c>
      <c r="C41" s="7">
        <v>10</v>
      </c>
      <c r="D41" s="7">
        <v>448</v>
      </c>
      <c r="E41" s="7">
        <v>376</v>
      </c>
    </row>
    <row r="42" spans="1:5" ht="14.25" customHeight="1" x14ac:dyDescent="0.3">
      <c r="A42" s="12">
        <v>43952</v>
      </c>
      <c r="B42" s="7" t="s">
        <v>16</v>
      </c>
      <c r="C42" s="7">
        <v>36</v>
      </c>
      <c r="D42" s="7">
        <v>5457</v>
      </c>
      <c r="E42" s="7">
        <v>4916</v>
      </c>
    </row>
    <row r="43" spans="1:5" ht="14.25" customHeight="1" x14ac:dyDescent="0.3">
      <c r="A43" s="12">
        <v>43952</v>
      </c>
      <c r="B43" s="7" t="s">
        <v>11</v>
      </c>
      <c r="C43" s="7">
        <v>31</v>
      </c>
      <c r="D43" s="7">
        <v>6118</v>
      </c>
      <c r="E43" s="7">
        <v>5564</v>
      </c>
    </row>
    <row r="44" spans="1:5" ht="14.25" customHeight="1" x14ac:dyDescent="0.3">
      <c r="A44" s="12">
        <v>43952</v>
      </c>
      <c r="B44" s="7" t="s">
        <v>17</v>
      </c>
      <c r="C44" s="7">
        <v>20</v>
      </c>
      <c r="D44" s="7">
        <v>2468</v>
      </c>
      <c r="E44" s="7">
        <v>2221</v>
      </c>
    </row>
    <row r="45" spans="1:5" ht="14.25" customHeight="1" x14ac:dyDescent="0.3">
      <c r="A45" s="12">
        <v>43952</v>
      </c>
      <c r="B45" s="7" t="s">
        <v>10</v>
      </c>
      <c r="C45" s="7">
        <v>18</v>
      </c>
      <c r="D45" s="7">
        <v>1826</v>
      </c>
      <c r="E45" s="7">
        <v>1633</v>
      </c>
    </row>
    <row r="46" spans="1:5" ht="14.25" customHeight="1" x14ac:dyDescent="0.3">
      <c r="A46" s="12">
        <v>43952</v>
      </c>
      <c r="B46" s="7" t="s">
        <v>20</v>
      </c>
      <c r="C46" s="7">
        <v>19</v>
      </c>
      <c r="D46" s="7">
        <v>1987</v>
      </c>
      <c r="E46" s="7">
        <v>1791</v>
      </c>
    </row>
    <row r="47" spans="1:5" ht="14.25" customHeight="1" x14ac:dyDescent="0.3">
      <c r="A47" s="12">
        <v>43952</v>
      </c>
      <c r="B47" s="7" t="s">
        <v>22</v>
      </c>
      <c r="C47" s="7">
        <v>54</v>
      </c>
      <c r="D47" s="7">
        <v>14205</v>
      </c>
      <c r="E47" s="7">
        <v>13026</v>
      </c>
    </row>
    <row r="48" spans="1:5" ht="14.25" customHeight="1" x14ac:dyDescent="0.3">
      <c r="A48" s="12">
        <v>43952</v>
      </c>
      <c r="B48" s="7" t="s">
        <v>21</v>
      </c>
      <c r="C48" s="7">
        <v>59</v>
      </c>
      <c r="D48" s="7">
        <v>15222</v>
      </c>
      <c r="E48" s="7">
        <v>13873</v>
      </c>
    </row>
    <row r="49" spans="1:5" ht="14.25" customHeight="1" x14ac:dyDescent="0.3">
      <c r="A49" s="12">
        <v>43952</v>
      </c>
      <c r="B49" s="7" t="s">
        <v>13</v>
      </c>
      <c r="C49" s="7">
        <v>19</v>
      </c>
      <c r="D49" s="7">
        <v>1497</v>
      </c>
      <c r="E49" s="7">
        <v>1291</v>
      </c>
    </row>
    <row r="50" spans="1:5" ht="14.25" customHeight="1" x14ac:dyDescent="0.3">
      <c r="A50" s="12">
        <v>43952</v>
      </c>
      <c r="B50" s="7" t="s">
        <v>23</v>
      </c>
      <c r="C50" s="7">
        <v>15</v>
      </c>
      <c r="D50" s="7">
        <v>721</v>
      </c>
      <c r="E50" s="7">
        <v>625</v>
      </c>
    </row>
    <row r="51" spans="1:5" ht="14.25" customHeight="1" x14ac:dyDescent="0.3">
      <c r="A51" s="12">
        <v>43952</v>
      </c>
      <c r="B51" s="7" t="s">
        <v>18</v>
      </c>
      <c r="C51" s="7">
        <v>15</v>
      </c>
      <c r="D51" s="7">
        <v>996</v>
      </c>
      <c r="E51" s="7">
        <v>888</v>
      </c>
    </row>
    <row r="52" spans="1:5" ht="14.25" customHeight="1" x14ac:dyDescent="0.3">
      <c r="A52" s="12">
        <v>43952</v>
      </c>
      <c r="B52" s="7" t="s">
        <v>19</v>
      </c>
      <c r="C52" s="7">
        <v>15</v>
      </c>
      <c r="D52" s="7">
        <v>294</v>
      </c>
      <c r="E52" s="7">
        <v>225</v>
      </c>
    </row>
    <row r="53" spans="1:5" ht="14.25" customHeight="1" x14ac:dyDescent="0.3">
      <c r="A53" s="12">
        <v>43952</v>
      </c>
      <c r="B53" s="7" t="s">
        <v>15</v>
      </c>
      <c r="C53" s="7">
        <v>125</v>
      </c>
      <c r="D53" s="7">
        <v>20602</v>
      </c>
      <c r="E53" s="7">
        <v>18845</v>
      </c>
    </row>
    <row r="54" spans="1:5" ht="14.25" customHeight="1" x14ac:dyDescent="0.3">
      <c r="A54" s="12">
        <v>43952</v>
      </c>
      <c r="B54" s="7" t="s">
        <v>14</v>
      </c>
      <c r="C54" s="7">
        <v>129</v>
      </c>
      <c r="D54" s="7">
        <v>17002</v>
      </c>
      <c r="E54" s="7">
        <v>15570</v>
      </c>
    </row>
    <row r="55" spans="1:5" ht="14.25" customHeight="1" x14ac:dyDescent="0.3">
      <c r="A55" s="12">
        <v>43952</v>
      </c>
      <c r="B55" s="7" t="s">
        <v>12</v>
      </c>
      <c r="C55" s="7">
        <v>10</v>
      </c>
      <c r="D55" s="7">
        <v>554</v>
      </c>
      <c r="E55" s="7">
        <v>472</v>
      </c>
    </row>
    <row r="56" spans="1:5" ht="14.25" customHeight="1" x14ac:dyDescent="0.3">
      <c r="A56" s="12">
        <v>43953</v>
      </c>
      <c r="B56" s="7" t="s">
        <v>16</v>
      </c>
      <c r="C56" s="7">
        <v>36</v>
      </c>
      <c r="D56" s="7">
        <v>3442</v>
      </c>
      <c r="E56" s="7">
        <v>3147</v>
      </c>
    </row>
    <row r="57" spans="1:5" ht="14.25" customHeight="1" x14ac:dyDescent="0.3">
      <c r="A57" s="12">
        <v>43953</v>
      </c>
      <c r="B57" s="7" t="s">
        <v>11</v>
      </c>
      <c r="C57" s="7">
        <v>31</v>
      </c>
      <c r="D57" s="7">
        <v>4157</v>
      </c>
      <c r="E57" s="7">
        <v>3823</v>
      </c>
    </row>
    <row r="58" spans="1:5" ht="14.25" customHeight="1" x14ac:dyDescent="0.3">
      <c r="A58" s="12">
        <v>43953</v>
      </c>
      <c r="B58" s="7" t="s">
        <v>17</v>
      </c>
      <c r="C58" s="7">
        <v>20</v>
      </c>
      <c r="D58" s="7">
        <v>1613</v>
      </c>
      <c r="E58" s="7">
        <v>1457</v>
      </c>
    </row>
    <row r="59" spans="1:5" ht="14.25" customHeight="1" x14ac:dyDescent="0.3">
      <c r="A59" s="12">
        <v>43953</v>
      </c>
      <c r="B59" s="7" t="s">
        <v>10</v>
      </c>
      <c r="C59" s="7">
        <v>18</v>
      </c>
      <c r="D59" s="7">
        <v>1708</v>
      </c>
      <c r="E59" s="7">
        <v>1534</v>
      </c>
    </row>
    <row r="60" spans="1:5" ht="14.25" customHeight="1" x14ac:dyDescent="0.3">
      <c r="A60" s="12">
        <v>43953</v>
      </c>
      <c r="B60" s="7" t="s">
        <v>20</v>
      </c>
      <c r="C60" s="7">
        <v>19</v>
      </c>
      <c r="D60" s="7">
        <v>1206</v>
      </c>
      <c r="E60" s="7">
        <v>1080</v>
      </c>
    </row>
    <row r="61" spans="1:5" ht="14.25" customHeight="1" x14ac:dyDescent="0.3">
      <c r="A61" s="12">
        <v>43953</v>
      </c>
      <c r="B61" s="7" t="s">
        <v>22</v>
      </c>
      <c r="C61" s="7">
        <v>54</v>
      </c>
      <c r="D61" s="7">
        <v>11622</v>
      </c>
      <c r="E61" s="7">
        <v>10754</v>
      </c>
    </row>
    <row r="62" spans="1:5" ht="14.25" customHeight="1" x14ac:dyDescent="0.3">
      <c r="A62" s="12">
        <v>43953</v>
      </c>
      <c r="B62" s="7" t="s">
        <v>21</v>
      </c>
      <c r="C62" s="7">
        <v>59</v>
      </c>
      <c r="D62" s="7">
        <v>12429</v>
      </c>
      <c r="E62" s="7">
        <v>11477</v>
      </c>
    </row>
    <row r="63" spans="1:5" ht="14.25" customHeight="1" x14ac:dyDescent="0.3">
      <c r="A63" s="12">
        <v>43953</v>
      </c>
      <c r="B63" s="7" t="s">
        <v>13</v>
      </c>
      <c r="C63" s="7">
        <v>19</v>
      </c>
      <c r="D63" s="7">
        <v>1217</v>
      </c>
      <c r="E63" s="7">
        <v>1048</v>
      </c>
    </row>
    <row r="64" spans="1:5" ht="14.25" customHeight="1" x14ac:dyDescent="0.3">
      <c r="A64" s="12">
        <v>43953</v>
      </c>
      <c r="B64" s="7" t="s">
        <v>23</v>
      </c>
      <c r="C64" s="7">
        <v>15</v>
      </c>
      <c r="D64" s="7">
        <v>567</v>
      </c>
      <c r="E64" s="7">
        <v>493</v>
      </c>
    </row>
    <row r="65" spans="1:5" ht="14.25" customHeight="1" x14ac:dyDescent="0.3">
      <c r="A65" s="12">
        <v>43953</v>
      </c>
      <c r="B65" s="7" t="s">
        <v>18</v>
      </c>
      <c r="C65" s="7">
        <v>15</v>
      </c>
      <c r="D65" s="7">
        <v>751</v>
      </c>
      <c r="E65" s="7">
        <v>651</v>
      </c>
    </row>
    <row r="66" spans="1:5" ht="14.25" customHeight="1" x14ac:dyDescent="0.3">
      <c r="A66" s="12">
        <v>43953</v>
      </c>
      <c r="B66" s="7" t="s">
        <v>19</v>
      </c>
      <c r="C66" s="7">
        <v>15</v>
      </c>
      <c r="D66" s="7">
        <v>274</v>
      </c>
      <c r="E66" s="7">
        <v>203</v>
      </c>
    </row>
    <row r="67" spans="1:5" ht="14.25" customHeight="1" x14ac:dyDescent="0.3">
      <c r="A67" s="12">
        <v>43953</v>
      </c>
      <c r="B67" s="7" t="s">
        <v>15</v>
      </c>
      <c r="C67" s="7">
        <v>125</v>
      </c>
      <c r="D67" s="7">
        <v>16932</v>
      </c>
      <c r="E67" s="7">
        <v>15601</v>
      </c>
    </row>
    <row r="68" spans="1:5" ht="14.25" customHeight="1" x14ac:dyDescent="0.3">
      <c r="A68" s="12">
        <v>43953</v>
      </c>
      <c r="B68" s="7" t="s">
        <v>14</v>
      </c>
      <c r="C68" s="7">
        <v>129</v>
      </c>
      <c r="D68" s="7">
        <v>14009</v>
      </c>
      <c r="E68" s="7">
        <v>12920</v>
      </c>
    </row>
    <row r="69" spans="1:5" ht="14.25" customHeight="1" x14ac:dyDescent="0.3">
      <c r="A69" s="12">
        <v>43953</v>
      </c>
      <c r="B69" s="7" t="s">
        <v>12</v>
      </c>
      <c r="C69" s="7">
        <v>10</v>
      </c>
      <c r="D69" s="7">
        <v>416</v>
      </c>
      <c r="E69" s="7">
        <v>341</v>
      </c>
    </row>
    <row r="70" spans="1:5" ht="14.25" customHeight="1" x14ac:dyDescent="0.3">
      <c r="A70" s="12">
        <v>43954</v>
      </c>
      <c r="B70" s="7" t="s">
        <v>16</v>
      </c>
      <c r="C70" s="7">
        <v>36</v>
      </c>
      <c r="D70" s="7">
        <v>4751</v>
      </c>
      <c r="E70" s="7">
        <v>4370</v>
      </c>
    </row>
    <row r="71" spans="1:5" ht="14.25" customHeight="1" x14ac:dyDescent="0.3">
      <c r="A71" s="12">
        <v>43954</v>
      </c>
      <c r="B71" s="7" t="s">
        <v>11</v>
      </c>
      <c r="C71" s="7">
        <v>31</v>
      </c>
      <c r="D71" s="7">
        <v>5155</v>
      </c>
      <c r="E71" s="7">
        <v>4762</v>
      </c>
    </row>
    <row r="72" spans="1:5" ht="14.25" customHeight="1" x14ac:dyDescent="0.3">
      <c r="A72" s="12">
        <v>43954</v>
      </c>
      <c r="B72" s="7" t="s">
        <v>17</v>
      </c>
      <c r="C72" s="7">
        <v>20</v>
      </c>
      <c r="D72" s="7">
        <v>1716</v>
      </c>
      <c r="E72" s="7">
        <v>1561</v>
      </c>
    </row>
    <row r="73" spans="1:5" ht="14.25" customHeight="1" x14ac:dyDescent="0.3">
      <c r="A73" s="12">
        <v>43954</v>
      </c>
      <c r="B73" s="7" t="s">
        <v>10</v>
      </c>
      <c r="C73" s="7">
        <v>20</v>
      </c>
      <c r="D73" s="7">
        <v>1520</v>
      </c>
      <c r="E73" s="7">
        <v>1373</v>
      </c>
    </row>
    <row r="74" spans="1:5" ht="14.25" customHeight="1" x14ac:dyDescent="0.3">
      <c r="A74" s="12">
        <v>43954</v>
      </c>
      <c r="B74" s="7" t="s">
        <v>20</v>
      </c>
      <c r="C74" s="7">
        <v>19</v>
      </c>
      <c r="D74" s="7">
        <v>1314</v>
      </c>
      <c r="E74" s="7">
        <v>1192</v>
      </c>
    </row>
    <row r="75" spans="1:5" ht="14.25" customHeight="1" x14ac:dyDescent="0.3">
      <c r="A75" s="12">
        <v>43954</v>
      </c>
      <c r="B75" s="7" t="s">
        <v>22</v>
      </c>
      <c r="C75" s="7">
        <v>54</v>
      </c>
      <c r="D75" s="7">
        <v>14823</v>
      </c>
      <c r="E75" s="7">
        <v>13751</v>
      </c>
    </row>
    <row r="76" spans="1:5" ht="14.25" customHeight="1" x14ac:dyDescent="0.3">
      <c r="A76" s="12">
        <v>43954</v>
      </c>
      <c r="B76" s="7" t="s">
        <v>21</v>
      </c>
      <c r="C76" s="7">
        <v>59</v>
      </c>
      <c r="D76" s="7">
        <v>15277</v>
      </c>
      <c r="E76" s="7">
        <v>14163</v>
      </c>
    </row>
    <row r="77" spans="1:5" ht="14.25" customHeight="1" x14ac:dyDescent="0.3">
      <c r="A77" s="12">
        <v>43954</v>
      </c>
      <c r="B77" s="7" t="s">
        <v>13</v>
      </c>
      <c r="C77" s="7">
        <v>19</v>
      </c>
      <c r="D77" s="7">
        <v>1402</v>
      </c>
      <c r="E77" s="7">
        <v>1234</v>
      </c>
    </row>
    <row r="78" spans="1:5" ht="14.25" customHeight="1" x14ac:dyDescent="0.3">
      <c r="A78" s="12">
        <v>43954</v>
      </c>
      <c r="B78" s="7" t="s">
        <v>23</v>
      </c>
      <c r="C78" s="7">
        <v>15</v>
      </c>
      <c r="D78" s="7">
        <v>585</v>
      </c>
      <c r="E78" s="7">
        <v>502</v>
      </c>
    </row>
    <row r="79" spans="1:5" ht="14.25" customHeight="1" x14ac:dyDescent="0.3">
      <c r="A79" s="12">
        <v>43954</v>
      </c>
      <c r="B79" s="7" t="s">
        <v>18</v>
      </c>
      <c r="C79" s="7">
        <v>15</v>
      </c>
      <c r="D79" s="7">
        <v>784</v>
      </c>
      <c r="E79" s="7">
        <v>696</v>
      </c>
    </row>
    <row r="80" spans="1:5" ht="14.25" customHeight="1" x14ac:dyDescent="0.3">
      <c r="A80" s="12">
        <v>43954</v>
      </c>
      <c r="B80" s="7" t="s">
        <v>19</v>
      </c>
      <c r="C80" s="7">
        <v>15</v>
      </c>
      <c r="D80" s="7">
        <v>455</v>
      </c>
      <c r="E80" s="7">
        <v>384</v>
      </c>
    </row>
    <row r="81" spans="1:5" ht="14.25" customHeight="1" x14ac:dyDescent="0.3">
      <c r="A81" s="12">
        <v>43954</v>
      </c>
      <c r="B81" s="7" t="s">
        <v>15</v>
      </c>
      <c r="C81" s="7">
        <v>125</v>
      </c>
      <c r="D81" s="7">
        <v>18861</v>
      </c>
      <c r="E81" s="7">
        <v>17420</v>
      </c>
    </row>
    <row r="82" spans="1:5" ht="14.25" customHeight="1" x14ac:dyDescent="0.3">
      <c r="A82" s="12">
        <v>43954</v>
      </c>
      <c r="B82" s="7" t="s">
        <v>14</v>
      </c>
      <c r="C82" s="7">
        <v>129</v>
      </c>
      <c r="D82" s="7">
        <v>15778</v>
      </c>
      <c r="E82" s="7">
        <v>14624</v>
      </c>
    </row>
    <row r="83" spans="1:5" ht="14.25" customHeight="1" x14ac:dyDescent="0.3">
      <c r="A83" s="12">
        <v>43954</v>
      </c>
      <c r="B83" s="7" t="s">
        <v>12</v>
      </c>
      <c r="C83" s="7">
        <v>10</v>
      </c>
      <c r="D83" s="7">
        <v>402</v>
      </c>
      <c r="E83" s="7">
        <v>333</v>
      </c>
    </row>
    <row r="84" spans="1:5" ht="14.25" customHeight="1" x14ac:dyDescent="0.3">
      <c r="A84" s="12">
        <v>43955</v>
      </c>
      <c r="B84" s="7" t="s">
        <v>16</v>
      </c>
      <c r="C84" s="7">
        <v>36</v>
      </c>
      <c r="D84" s="7">
        <v>4508</v>
      </c>
      <c r="E84" s="7">
        <v>4149</v>
      </c>
    </row>
    <row r="85" spans="1:5" ht="14.25" customHeight="1" x14ac:dyDescent="0.3">
      <c r="A85" s="12">
        <v>43955</v>
      </c>
      <c r="B85" s="7" t="s">
        <v>11</v>
      </c>
      <c r="C85" s="7">
        <v>31</v>
      </c>
      <c r="D85" s="7">
        <v>4968</v>
      </c>
      <c r="E85" s="7">
        <v>4596</v>
      </c>
    </row>
    <row r="86" spans="1:5" ht="14.25" customHeight="1" x14ac:dyDescent="0.3">
      <c r="A86" s="12">
        <v>43955</v>
      </c>
      <c r="B86" s="7" t="s">
        <v>17</v>
      </c>
      <c r="C86" s="7">
        <v>20</v>
      </c>
      <c r="D86" s="7">
        <v>1804</v>
      </c>
      <c r="E86" s="7">
        <v>1638</v>
      </c>
    </row>
    <row r="87" spans="1:5" ht="14.25" customHeight="1" x14ac:dyDescent="0.3">
      <c r="A87" s="12">
        <v>43955</v>
      </c>
      <c r="B87" s="7" t="s">
        <v>10</v>
      </c>
      <c r="C87" s="7">
        <v>20</v>
      </c>
      <c r="D87" s="7">
        <v>1519</v>
      </c>
      <c r="E87" s="7">
        <v>1372</v>
      </c>
    </row>
    <row r="88" spans="1:5" ht="14.25" customHeight="1" x14ac:dyDescent="0.3">
      <c r="A88" s="12">
        <v>43955</v>
      </c>
      <c r="B88" s="7" t="s">
        <v>20</v>
      </c>
      <c r="C88" s="7">
        <v>19</v>
      </c>
      <c r="D88" s="7">
        <v>1479</v>
      </c>
      <c r="E88" s="7">
        <v>1346</v>
      </c>
    </row>
    <row r="89" spans="1:5" ht="14.25" customHeight="1" x14ac:dyDescent="0.3">
      <c r="A89" s="12">
        <v>43955</v>
      </c>
      <c r="B89" s="7" t="s">
        <v>22</v>
      </c>
      <c r="C89" s="7">
        <v>54</v>
      </c>
      <c r="D89" s="7">
        <v>13606</v>
      </c>
      <c r="E89" s="7">
        <v>12697</v>
      </c>
    </row>
    <row r="90" spans="1:5" ht="14.25" customHeight="1" x14ac:dyDescent="0.3">
      <c r="A90" s="12">
        <v>43955</v>
      </c>
      <c r="B90" s="7" t="s">
        <v>21</v>
      </c>
      <c r="C90" s="7">
        <v>59</v>
      </c>
      <c r="D90" s="7">
        <v>14423</v>
      </c>
      <c r="E90" s="7">
        <v>13432</v>
      </c>
    </row>
    <row r="91" spans="1:5" ht="14.25" customHeight="1" x14ac:dyDescent="0.3">
      <c r="A91" s="12">
        <v>43955</v>
      </c>
      <c r="B91" s="7" t="s">
        <v>13</v>
      </c>
      <c r="C91" s="7">
        <v>19</v>
      </c>
      <c r="D91" s="7">
        <v>1582</v>
      </c>
      <c r="E91" s="7">
        <v>1403</v>
      </c>
    </row>
    <row r="92" spans="1:5" ht="14.25" customHeight="1" x14ac:dyDescent="0.3">
      <c r="A92" s="12">
        <v>43955</v>
      </c>
      <c r="B92" s="7" t="s">
        <v>23</v>
      </c>
      <c r="C92" s="7">
        <v>15</v>
      </c>
      <c r="D92" s="7">
        <v>622</v>
      </c>
      <c r="E92" s="7">
        <v>538</v>
      </c>
    </row>
    <row r="93" spans="1:5" ht="14.25" customHeight="1" x14ac:dyDescent="0.3">
      <c r="A93" s="12">
        <v>43955</v>
      </c>
      <c r="B93" s="7" t="s">
        <v>18</v>
      </c>
      <c r="C93" s="7">
        <v>15</v>
      </c>
      <c r="D93" s="7">
        <v>750</v>
      </c>
      <c r="E93" s="7">
        <v>647</v>
      </c>
    </row>
    <row r="94" spans="1:5" ht="14.25" customHeight="1" x14ac:dyDescent="0.3">
      <c r="A94" s="12">
        <v>43955</v>
      </c>
      <c r="B94" s="7" t="s">
        <v>19</v>
      </c>
      <c r="C94" s="7">
        <v>15</v>
      </c>
      <c r="D94" s="7">
        <v>390</v>
      </c>
      <c r="E94" s="7">
        <v>315</v>
      </c>
    </row>
    <row r="95" spans="1:5" ht="14.25" customHeight="1" x14ac:dyDescent="0.3">
      <c r="A95" s="12">
        <v>43955</v>
      </c>
      <c r="B95" s="7" t="s">
        <v>15</v>
      </c>
      <c r="C95" s="7">
        <v>125</v>
      </c>
      <c r="D95" s="7">
        <v>20495</v>
      </c>
      <c r="E95" s="7">
        <v>18964</v>
      </c>
    </row>
    <row r="96" spans="1:5" ht="14.25" customHeight="1" x14ac:dyDescent="0.3">
      <c r="A96" s="12">
        <v>43955</v>
      </c>
      <c r="B96" s="7" t="s">
        <v>14</v>
      </c>
      <c r="C96" s="7">
        <v>129</v>
      </c>
      <c r="D96" s="7">
        <v>16525</v>
      </c>
      <c r="E96" s="7">
        <v>15310</v>
      </c>
    </row>
    <row r="97" spans="1:5" ht="14.25" customHeight="1" x14ac:dyDescent="0.3">
      <c r="A97" s="12">
        <v>43955</v>
      </c>
      <c r="B97" s="7" t="s">
        <v>12</v>
      </c>
      <c r="C97" s="7">
        <v>10</v>
      </c>
      <c r="D97" s="7">
        <v>462</v>
      </c>
      <c r="E97" s="7">
        <v>396</v>
      </c>
    </row>
    <row r="98" spans="1:5" ht="14.25" customHeight="1" x14ac:dyDescent="0.3">
      <c r="A98" s="12">
        <v>43956</v>
      </c>
      <c r="B98" s="7" t="s">
        <v>16</v>
      </c>
      <c r="C98" s="7">
        <v>36</v>
      </c>
      <c r="D98" s="7">
        <v>4575</v>
      </c>
      <c r="E98" s="7">
        <v>4206</v>
      </c>
    </row>
    <row r="99" spans="1:5" ht="14.25" customHeight="1" x14ac:dyDescent="0.3">
      <c r="A99" s="12">
        <v>43956</v>
      </c>
      <c r="B99" s="7" t="s">
        <v>11</v>
      </c>
      <c r="C99" s="7">
        <v>31</v>
      </c>
      <c r="D99" s="7">
        <v>5188</v>
      </c>
      <c r="E99" s="7">
        <v>4800</v>
      </c>
    </row>
    <row r="100" spans="1:5" ht="14.25" customHeight="1" x14ac:dyDescent="0.3">
      <c r="A100" s="12">
        <v>43956</v>
      </c>
      <c r="B100" s="7" t="s">
        <v>17</v>
      </c>
      <c r="C100" s="7">
        <v>20</v>
      </c>
      <c r="D100" s="7">
        <v>1757</v>
      </c>
      <c r="E100" s="7">
        <v>1596</v>
      </c>
    </row>
    <row r="101" spans="1:5" ht="14.25" customHeight="1" x14ac:dyDescent="0.3">
      <c r="A101" s="12">
        <v>43956</v>
      </c>
      <c r="B101" s="7" t="s">
        <v>10</v>
      </c>
      <c r="C101" s="7">
        <v>20</v>
      </c>
      <c r="D101" s="7">
        <v>1773</v>
      </c>
      <c r="E101" s="7">
        <v>1604</v>
      </c>
    </row>
    <row r="102" spans="1:5" ht="14.25" customHeight="1" x14ac:dyDescent="0.3">
      <c r="A102" s="12">
        <v>43956</v>
      </c>
      <c r="B102" s="7" t="s">
        <v>20</v>
      </c>
      <c r="C102" s="7">
        <v>19</v>
      </c>
      <c r="D102" s="7">
        <v>1622</v>
      </c>
      <c r="E102" s="7">
        <v>1482</v>
      </c>
    </row>
    <row r="103" spans="1:5" ht="14.25" customHeight="1" x14ac:dyDescent="0.3">
      <c r="A103" s="12">
        <v>43956</v>
      </c>
      <c r="B103" s="7" t="s">
        <v>22</v>
      </c>
      <c r="C103" s="7">
        <v>54</v>
      </c>
      <c r="D103" s="7">
        <v>12775</v>
      </c>
      <c r="E103" s="7">
        <v>11887</v>
      </c>
    </row>
    <row r="104" spans="1:5" ht="14.25" customHeight="1" x14ac:dyDescent="0.3">
      <c r="A104" s="12">
        <v>43956</v>
      </c>
      <c r="B104" s="7" t="s">
        <v>21</v>
      </c>
      <c r="C104" s="7">
        <v>59</v>
      </c>
      <c r="D104" s="7">
        <v>13469</v>
      </c>
      <c r="E104" s="7">
        <v>12486</v>
      </c>
    </row>
    <row r="105" spans="1:5" ht="14.25" customHeight="1" x14ac:dyDescent="0.3">
      <c r="A105" s="12">
        <v>43956</v>
      </c>
      <c r="B105" s="7" t="s">
        <v>13</v>
      </c>
      <c r="C105" s="7">
        <v>19</v>
      </c>
      <c r="D105" s="7">
        <v>1417</v>
      </c>
      <c r="E105" s="7">
        <v>1245</v>
      </c>
    </row>
    <row r="106" spans="1:5" ht="14.25" customHeight="1" x14ac:dyDescent="0.3">
      <c r="A106" s="12">
        <v>43956</v>
      </c>
      <c r="B106" s="7" t="s">
        <v>23</v>
      </c>
      <c r="C106" s="7">
        <v>15</v>
      </c>
      <c r="D106" s="7">
        <v>750</v>
      </c>
      <c r="E106" s="7">
        <v>658</v>
      </c>
    </row>
    <row r="107" spans="1:5" ht="14.25" customHeight="1" x14ac:dyDescent="0.3">
      <c r="A107" s="12">
        <v>43956</v>
      </c>
      <c r="B107" s="7" t="s">
        <v>18</v>
      </c>
      <c r="C107" s="7">
        <v>15</v>
      </c>
      <c r="D107" s="7">
        <v>922</v>
      </c>
      <c r="E107" s="7">
        <v>823</v>
      </c>
    </row>
    <row r="108" spans="1:5" ht="14.25" customHeight="1" x14ac:dyDescent="0.3">
      <c r="A108" s="12">
        <v>43956</v>
      </c>
      <c r="B108" s="7" t="s">
        <v>19</v>
      </c>
      <c r="C108" s="7">
        <v>15</v>
      </c>
      <c r="D108" s="7">
        <v>455</v>
      </c>
      <c r="E108" s="7">
        <v>381</v>
      </c>
    </row>
    <row r="109" spans="1:5" ht="14.25" customHeight="1" x14ac:dyDescent="0.3">
      <c r="A109" s="12">
        <v>43956</v>
      </c>
      <c r="B109" s="7" t="s">
        <v>15</v>
      </c>
      <c r="C109" s="7">
        <v>125</v>
      </c>
      <c r="D109" s="7">
        <v>18944</v>
      </c>
      <c r="E109" s="7">
        <v>17541</v>
      </c>
    </row>
    <row r="110" spans="1:5" ht="14.25" customHeight="1" x14ac:dyDescent="0.3">
      <c r="A110" s="12">
        <v>43956</v>
      </c>
      <c r="B110" s="7" t="s">
        <v>14</v>
      </c>
      <c r="C110" s="7">
        <v>129</v>
      </c>
      <c r="D110" s="7">
        <v>15665</v>
      </c>
      <c r="E110" s="7">
        <v>14501</v>
      </c>
    </row>
    <row r="111" spans="1:5" ht="14.25" customHeight="1" x14ac:dyDescent="0.3">
      <c r="A111" s="12">
        <v>43956</v>
      </c>
      <c r="B111" s="7" t="s">
        <v>12</v>
      </c>
      <c r="C111" s="7">
        <v>10</v>
      </c>
      <c r="D111" s="7">
        <v>511</v>
      </c>
      <c r="E111" s="7">
        <v>437</v>
      </c>
    </row>
    <row r="112" spans="1:5" ht="14.25" customHeight="1" x14ac:dyDescent="0.3">
      <c r="A112" s="12">
        <v>43957</v>
      </c>
      <c r="B112" s="7" t="s">
        <v>16</v>
      </c>
      <c r="C112" s="7">
        <v>36</v>
      </c>
      <c r="D112" s="7">
        <v>4384</v>
      </c>
      <c r="E112" s="7">
        <v>4025</v>
      </c>
    </row>
    <row r="113" spans="1:5" ht="14.25" customHeight="1" x14ac:dyDescent="0.3">
      <c r="A113" s="12">
        <v>43957</v>
      </c>
      <c r="B113" s="7" t="s">
        <v>11</v>
      </c>
      <c r="C113" s="7">
        <v>31</v>
      </c>
      <c r="D113" s="7">
        <v>4709</v>
      </c>
      <c r="E113" s="7">
        <v>4348</v>
      </c>
    </row>
    <row r="114" spans="1:5" ht="14.25" customHeight="1" x14ac:dyDescent="0.3">
      <c r="A114" s="12">
        <v>43957</v>
      </c>
      <c r="B114" s="7" t="s">
        <v>17</v>
      </c>
      <c r="C114" s="7">
        <v>20</v>
      </c>
      <c r="D114" s="7">
        <v>1747</v>
      </c>
      <c r="E114" s="7">
        <v>1570</v>
      </c>
    </row>
    <row r="115" spans="1:5" ht="14.25" customHeight="1" x14ac:dyDescent="0.3">
      <c r="A115" s="12">
        <v>43957</v>
      </c>
      <c r="B115" s="7" t="s">
        <v>10</v>
      </c>
      <c r="C115" s="7">
        <v>20</v>
      </c>
      <c r="D115" s="7">
        <v>1784</v>
      </c>
      <c r="E115" s="7">
        <v>1632</v>
      </c>
    </row>
    <row r="116" spans="1:5" ht="14.25" customHeight="1" x14ac:dyDescent="0.3">
      <c r="A116" s="12">
        <v>43957</v>
      </c>
      <c r="B116" s="7" t="s">
        <v>20</v>
      </c>
      <c r="C116" s="7">
        <v>19</v>
      </c>
      <c r="D116" s="7">
        <v>1509</v>
      </c>
      <c r="E116" s="7">
        <v>1374</v>
      </c>
    </row>
    <row r="117" spans="1:5" ht="14.25" customHeight="1" x14ac:dyDescent="0.3">
      <c r="A117" s="12">
        <v>43957</v>
      </c>
      <c r="B117" s="7" t="s">
        <v>22</v>
      </c>
      <c r="C117" s="7">
        <v>54</v>
      </c>
      <c r="D117" s="7">
        <v>13406</v>
      </c>
      <c r="E117" s="7">
        <v>12518</v>
      </c>
    </row>
    <row r="118" spans="1:5" ht="14.25" customHeight="1" x14ac:dyDescent="0.3">
      <c r="A118" s="12">
        <v>43957</v>
      </c>
      <c r="B118" s="7" t="s">
        <v>21</v>
      </c>
      <c r="C118" s="7">
        <v>59</v>
      </c>
      <c r="D118" s="7">
        <v>14103</v>
      </c>
      <c r="E118" s="7">
        <v>13118</v>
      </c>
    </row>
    <row r="119" spans="1:5" ht="14.25" customHeight="1" x14ac:dyDescent="0.3">
      <c r="A119" s="12">
        <v>43957</v>
      </c>
      <c r="B119" s="7" t="s">
        <v>13</v>
      </c>
      <c r="C119" s="7">
        <v>19</v>
      </c>
      <c r="D119" s="7">
        <v>1499</v>
      </c>
      <c r="E119" s="7">
        <v>1323</v>
      </c>
    </row>
    <row r="120" spans="1:5" ht="14.25" customHeight="1" x14ac:dyDescent="0.3">
      <c r="A120" s="12">
        <v>43957</v>
      </c>
      <c r="B120" s="7" t="s">
        <v>23</v>
      </c>
      <c r="C120" s="7">
        <v>15</v>
      </c>
      <c r="D120" s="7">
        <v>701</v>
      </c>
      <c r="E120" s="7">
        <v>611</v>
      </c>
    </row>
    <row r="121" spans="1:5" ht="14.25" customHeight="1" x14ac:dyDescent="0.3">
      <c r="A121" s="12">
        <v>43957</v>
      </c>
      <c r="B121" s="7" t="s">
        <v>18</v>
      </c>
      <c r="C121" s="7">
        <v>15</v>
      </c>
      <c r="D121" s="7">
        <v>839</v>
      </c>
      <c r="E121" s="7">
        <v>733</v>
      </c>
    </row>
    <row r="122" spans="1:5" ht="14.25" customHeight="1" x14ac:dyDescent="0.3">
      <c r="A122" s="12">
        <v>43957</v>
      </c>
      <c r="B122" s="7" t="s">
        <v>19</v>
      </c>
      <c r="C122" s="7">
        <v>15</v>
      </c>
      <c r="D122" s="7">
        <v>467</v>
      </c>
      <c r="E122" s="7">
        <v>389</v>
      </c>
    </row>
    <row r="123" spans="1:5" ht="14.25" customHeight="1" x14ac:dyDescent="0.3">
      <c r="A123" s="12">
        <v>43957</v>
      </c>
      <c r="B123" s="7" t="s">
        <v>15</v>
      </c>
      <c r="C123" s="7">
        <v>125</v>
      </c>
      <c r="D123" s="7">
        <v>20218</v>
      </c>
      <c r="E123" s="7">
        <v>18647</v>
      </c>
    </row>
    <row r="124" spans="1:5" ht="14.25" customHeight="1" x14ac:dyDescent="0.3">
      <c r="A124" s="12">
        <v>43957</v>
      </c>
      <c r="B124" s="7" t="s">
        <v>14</v>
      </c>
      <c r="C124" s="7">
        <v>129</v>
      </c>
      <c r="D124" s="7">
        <v>16376</v>
      </c>
      <c r="E124" s="7">
        <v>15197</v>
      </c>
    </row>
    <row r="125" spans="1:5" ht="14.25" customHeight="1" x14ac:dyDescent="0.3">
      <c r="A125" s="12">
        <v>43957</v>
      </c>
      <c r="B125" s="7" t="s">
        <v>12</v>
      </c>
      <c r="C125" s="7">
        <v>10</v>
      </c>
      <c r="D125" s="7">
        <v>465</v>
      </c>
      <c r="E125" s="7">
        <v>390</v>
      </c>
    </row>
    <row r="126" spans="1:5" ht="14.25" customHeight="1" x14ac:dyDescent="0.3">
      <c r="A126" s="12">
        <v>43958</v>
      </c>
      <c r="B126" s="7" t="s">
        <v>16</v>
      </c>
      <c r="C126" s="7">
        <v>36</v>
      </c>
      <c r="D126" s="7">
        <v>4826</v>
      </c>
      <c r="E126" s="7">
        <v>4426</v>
      </c>
    </row>
    <row r="127" spans="1:5" ht="14.25" customHeight="1" x14ac:dyDescent="0.3">
      <c r="A127" s="12">
        <v>43958</v>
      </c>
      <c r="B127" s="7" t="s">
        <v>11</v>
      </c>
      <c r="C127" s="7">
        <v>31</v>
      </c>
      <c r="D127" s="7">
        <v>4903</v>
      </c>
      <c r="E127" s="7">
        <v>4527</v>
      </c>
    </row>
    <row r="128" spans="1:5" ht="14.25" customHeight="1" x14ac:dyDescent="0.3">
      <c r="A128" s="12">
        <v>43958</v>
      </c>
      <c r="B128" s="7" t="s">
        <v>17</v>
      </c>
      <c r="C128" s="7">
        <v>21</v>
      </c>
      <c r="D128" s="7">
        <v>1879</v>
      </c>
      <c r="E128" s="7">
        <v>1695</v>
      </c>
    </row>
    <row r="129" spans="1:5" ht="14.25" customHeight="1" x14ac:dyDescent="0.3">
      <c r="A129" s="12">
        <v>43958</v>
      </c>
      <c r="B129" s="7" t="s">
        <v>10</v>
      </c>
      <c r="C129" s="7">
        <v>21</v>
      </c>
      <c r="D129" s="7">
        <v>1542</v>
      </c>
      <c r="E129" s="7">
        <v>1405</v>
      </c>
    </row>
    <row r="130" spans="1:5" ht="14.25" customHeight="1" x14ac:dyDescent="0.3">
      <c r="A130" s="12">
        <v>43958</v>
      </c>
      <c r="B130" s="7" t="s">
        <v>20</v>
      </c>
      <c r="C130" s="7">
        <v>19</v>
      </c>
      <c r="D130" s="7">
        <v>1580</v>
      </c>
      <c r="E130" s="7">
        <v>1435</v>
      </c>
    </row>
    <row r="131" spans="1:5" ht="14.25" customHeight="1" x14ac:dyDescent="0.3">
      <c r="A131" s="12">
        <v>43958</v>
      </c>
      <c r="B131" s="7" t="s">
        <v>22</v>
      </c>
      <c r="C131" s="7">
        <v>54</v>
      </c>
      <c r="D131" s="7">
        <v>12743</v>
      </c>
      <c r="E131" s="7">
        <v>11858</v>
      </c>
    </row>
    <row r="132" spans="1:5" ht="14.25" customHeight="1" x14ac:dyDescent="0.3">
      <c r="A132" s="12">
        <v>43958</v>
      </c>
      <c r="B132" s="7" t="s">
        <v>21</v>
      </c>
      <c r="C132" s="7">
        <v>59</v>
      </c>
      <c r="D132" s="7">
        <v>13495</v>
      </c>
      <c r="E132" s="7">
        <v>12517</v>
      </c>
    </row>
    <row r="133" spans="1:5" ht="14.25" customHeight="1" x14ac:dyDescent="0.3">
      <c r="A133" s="12">
        <v>43958</v>
      </c>
      <c r="B133" s="7" t="s">
        <v>13</v>
      </c>
      <c r="C133" s="7">
        <v>19</v>
      </c>
      <c r="D133" s="7">
        <v>1530</v>
      </c>
      <c r="E133" s="7">
        <v>1338</v>
      </c>
    </row>
    <row r="134" spans="1:5" ht="14.25" customHeight="1" x14ac:dyDescent="0.3">
      <c r="A134" s="12">
        <v>43958</v>
      </c>
      <c r="B134" s="7" t="s">
        <v>23</v>
      </c>
      <c r="C134" s="7">
        <v>15</v>
      </c>
      <c r="D134" s="7">
        <v>676</v>
      </c>
      <c r="E134" s="7">
        <v>591</v>
      </c>
    </row>
    <row r="135" spans="1:5" ht="14.25" customHeight="1" x14ac:dyDescent="0.3">
      <c r="A135" s="12">
        <v>43958</v>
      </c>
      <c r="B135" s="7" t="s">
        <v>18</v>
      </c>
      <c r="C135" s="7">
        <v>15</v>
      </c>
      <c r="D135" s="7">
        <v>805</v>
      </c>
      <c r="E135" s="7">
        <v>703</v>
      </c>
    </row>
    <row r="136" spans="1:5" ht="14.25" customHeight="1" x14ac:dyDescent="0.3">
      <c r="A136" s="12">
        <v>43958</v>
      </c>
      <c r="B136" s="7" t="s">
        <v>19</v>
      </c>
      <c r="C136" s="7">
        <v>15</v>
      </c>
      <c r="D136" s="7">
        <v>480</v>
      </c>
      <c r="E136" s="7">
        <v>398</v>
      </c>
    </row>
    <row r="137" spans="1:5" ht="14.25" customHeight="1" x14ac:dyDescent="0.3">
      <c r="A137" s="12">
        <v>43958</v>
      </c>
      <c r="B137" s="7" t="s">
        <v>15</v>
      </c>
      <c r="C137" s="7">
        <v>125</v>
      </c>
      <c r="D137" s="7">
        <v>18014</v>
      </c>
      <c r="E137" s="7">
        <v>16675</v>
      </c>
    </row>
    <row r="138" spans="1:5" ht="14.25" customHeight="1" x14ac:dyDescent="0.3">
      <c r="A138" s="12">
        <v>43958</v>
      </c>
      <c r="B138" s="7" t="s">
        <v>14</v>
      </c>
      <c r="C138" s="7">
        <v>129</v>
      </c>
      <c r="D138" s="7">
        <v>14582</v>
      </c>
      <c r="E138" s="7">
        <v>13512</v>
      </c>
    </row>
    <row r="139" spans="1:5" ht="14.25" customHeight="1" x14ac:dyDescent="0.3">
      <c r="A139" s="12">
        <v>43958</v>
      </c>
      <c r="B139" s="7" t="s">
        <v>12</v>
      </c>
      <c r="C139" s="7">
        <v>10</v>
      </c>
      <c r="D139" s="7">
        <v>563</v>
      </c>
      <c r="E139" s="7">
        <v>486</v>
      </c>
    </row>
    <row r="140" spans="1:5" ht="14.25" customHeight="1" x14ac:dyDescent="0.3">
      <c r="A140" s="12">
        <v>43959</v>
      </c>
      <c r="B140" s="7" t="s">
        <v>16</v>
      </c>
      <c r="C140" s="7">
        <v>36</v>
      </c>
      <c r="D140" s="7">
        <v>4199</v>
      </c>
      <c r="E140" s="7">
        <v>3867</v>
      </c>
    </row>
    <row r="141" spans="1:5" ht="14.25" customHeight="1" x14ac:dyDescent="0.3">
      <c r="A141" s="12">
        <v>43959</v>
      </c>
      <c r="B141" s="7" t="s">
        <v>11</v>
      </c>
      <c r="C141" s="7">
        <v>31</v>
      </c>
      <c r="D141" s="7">
        <v>4635</v>
      </c>
      <c r="E141" s="7">
        <v>4266</v>
      </c>
    </row>
    <row r="142" spans="1:5" ht="14.25" customHeight="1" x14ac:dyDescent="0.3">
      <c r="A142" s="12">
        <v>43959</v>
      </c>
      <c r="B142" s="7" t="s">
        <v>17</v>
      </c>
      <c r="C142" s="7">
        <v>21</v>
      </c>
      <c r="D142" s="7">
        <v>1957</v>
      </c>
      <c r="E142" s="7">
        <v>1755</v>
      </c>
    </row>
    <row r="143" spans="1:5" ht="14.25" customHeight="1" x14ac:dyDescent="0.3">
      <c r="A143" s="12">
        <v>43959</v>
      </c>
      <c r="B143" s="7" t="s">
        <v>10</v>
      </c>
      <c r="C143" s="7">
        <v>21</v>
      </c>
      <c r="D143" s="7">
        <v>1646</v>
      </c>
      <c r="E143" s="7">
        <v>1492</v>
      </c>
    </row>
    <row r="144" spans="1:5" ht="14.25" customHeight="1" x14ac:dyDescent="0.3">
      <c r="A144" s="12">
        <v>43959</v>
      </c>
      <c r="B144" s="7" t="s">
        <v>20</v>
      </c>
      <c r="C144" s="7">
        <v>19</v>
      </c>
      <c r="D144" s="7">
        <v>1520</v>
      </c>
      <c r="E144" s="7">
        <v>1380</v>
      </c>
    </row>
    <row r="145" spans="1:5" ht="14.25" customHeight="1" x14ac:dyDescent="0.3">
      <c r="A145" s="12">
        <v>43959</v>
      </c>
      <c r="B145" s="7" t="s">
        <v>22</v>
      </c>
      <c r="C145" s="7">
        <v>54</v>
      </c>
      <c r="D145" s="7">
        <v>13563</v>
      </c>
      <c r="E145" s="7">
        <v>12604</v>
      </c>
    </row>
    <row r="146" spans="1:5" ht="14.25" customHeight="1" x14ac:dyDescent="0.3">
      <c r="A146" s="12">
        <v>43959</v>
      </c>
      <c r="B146" s="7" t="s">
        <v>21</v>
      </c>
      <c r="C146" s="7">
        <v>59</v>
      </c>
      <c r="D146" s="7">
        <v>14098</v>
      </c>
      <c r="E146" s="7">
        <v>13106</v>
      </c>
    </row>
    <row r="147" spans="1:5" ht="14.25" customHeight="1" x14ac:dyDescent="0.3">
      <c r="A147" s="12">
        <v>43959</v>
      </c>
      <c r="B147" s="7" t="s">
        <v>13</v>
      </c>
      <c r="C147" s="7">
        <v>19</v>
      </c>
      <c r="D147" s="7">
        <v>1522</v>
      </c>
      <c r="E147" s="7">
        <v>1340</v>
      </c>
    </row>
    <row r="148" spans="1:5" ht="14.25" customHeight="1" x14ac:dyDescent="0.3">
      <c r="A148" s="12">
        <v>43959</v>
      </c>
      <c r="B148" s="7" t="s">
        <v>23</v>
      </c>
      <c r="C148" s="7">
        <v>15</v>
      </c>
      <c r="D148" s="7">
        <v>703</v>
      </c>
      <c r="E148" s="7">
        <v>609</v>
      </c>
    </row>
    <row r="149" spans="1:5" ht="14.25" customHeight="1" x14ac:dyDescent="0.3">
      <c r="A149" s="12">
        <v>43959</v>
      </c>
      <c r="B149" s="7" t="s">
        <v>18</v>
      </c>
      <c r="C149" s="7">
        <v>15</v>
      </c>
      <c r="D149" s="7">
        <v>879</v>
      </c>
      <c r="E149" s="7">
        <v>768</v>
      </c>
    </row>
    <row r="150" spans="1:5" ht="14.25" customHeight="1" x14ac:dyDescent="0.3">
      <c r="A150" s="12">
        <v>43959</v>
      </c>
      <c r="B150" s="7" t="s">
        <v>19</v>
      </c>
      <c r="C150" s="7">
        <v>15</v>
      </c>
      <c r="D150" s="7">
        <v>492</v>
      </c>
      <c r="E150" s="7">
        <v>412</v>
      </c>
    </row>
    <row r="151" spans="1:5" ht="14.25" customHeight="1" x14ac:dyDescent="0.3">
      <c r="A151" s="12">
        <v>43959</v>
      </c>
      <c r="B151" s="7" t="s">
        <v>15</v>
      </c>
      <c r="C151" s="7">
        <v>125</v>
      </c>
      <c r="D151" s="7">
        <v>24620</v>
      </c>
      <c r="E151" s="7">
        <v>22641</v>
      </c>
    </row>
    <row r="152" spans="1:5" ht="14.25" customHeight="1" x14ac:dyDescent="0.3">
      <c r="A152" s="12">
        <v>43959</v>
      </c>
      <c r="B152" s="7" t="s">
        <v>14</v>
      </c>
      <c r="C152" s="7">
        <v>129</v>
      </c>
      <c r="D152" s="7">
        <v>20452</v>
      </c>
      <c r="E152" s="7">
        <v>18857</v>
      </c>
    </row>
    <row r="153" spans="1:5" ht="14.25" customHeight="1" x14ac:dyDescent="0.3">
      <c r="A153" s="12">
        <v>43959</v>
      </c>
      <c r="B153" s="7" t="s">
        <v>12</v>
      </c>
      <c r="C153" s="7">
        <v>10</v>
      </c>
      <c r="D153" s="7">
        <v>638</v>
      </c>
      <c r="E153" s="7">
        <v>547</v>
      </c>
    </row>
    <row r="154" spans="1:5" ht="14.25" customHeight="1" x14ac:dyDescent="0.3">
      <c r="A154" s="12">
        <v>43960</v>
      </c>
      <c r="B154" s="7" t="s">
        <v>16</v>
      </c>
      <c r="C154" s="7">
        <v>36</v>
      </c>
      <c r="D154" s="7">
        <v>5413</v>
      </c>
      <c r="E154" s="7">
        <v>4959</v>
      </c>
    </row>
    <row r="155" spans="1:5" ht="14.25" customHeight="1" x14ac:dyDescent="0.3">
      <c r="A155" s="12">
        <v>43960</v>
      </c>
      <c r="B155" s="7" t="s">
        <v>11</v>
      </c>
      <c r="C155" s="7">
        <v>31</v>
      </c>
      <c r="D155" s="7">
        <v>4556</v>
      </c>
      <c r="E155" s="7">
        <v>4220</v>
      </c>
    </row>
    <row r="156" spans="1:5" ht="14.25" customHeight="1" x14ac:dyDescent="0.3">
      <c r="A156" s="12">
        <v>43960</v>
      </c>
      <c r="B156" s="7" t="s">
        <v>17</v>
      </c>
      <c r="C156" s="7">
        <v>21</v>
      </c>
      <c r="D156" s="7">
        <v>1891</v>
      </c>
      <c r="E156" s="7">
        <v>1709</v>
      </c>
    </row>
    <row r="157" spans="1:5" ht="14.25" customHeight="1" x14ac:dyDescent="0.3">
      <c r="A157" s="12">
        <v>43960</v>
      </c>
      <c r="B157" s="7" t="s">
        <v>10</v>
      </c>
      <c r="C157" s="7">
        <v>21</v>
      </c>
      <c r="D157" s="7">
        <v>1735</v>
      </c>
      <c r="E157" s="7">
        <v>1568</v>
      </c>
    </row>
    <row r="158" spans="1:5" ht="14.25" customHeight="1" x14ac:dyDescent="0.3">
      <c r="A158" s="12">
        <v>43960</v>
      </c>
      <c r="B158" s="7" t="s">
        <v>20</v>
      </c>
      <c r="C158" s="7">
        <v>19</v>
      </c>
      <c r="D158" s="7">
        <v>1542</v>
      </c>
      <c r="E158" s="7">
        <v>1412</v>
      </c>
    </row>
    <row r="159" spans="1:5" ht="14.25" customHeight="1" x14ac:dyDescent="0.3">
      <c r="A159" s="12">
        <v>43960</v>
      </c>
      <c r="B159" s="7" t="s">
        <v>22</v>
      </c>
      <c r="C159" s="7">
        <v>54</v>
      </c>
      <c r="D159" s="7">
        <v>11288</v>
      </c>
      <c r="E159" s="7">
        <v>10492</v>
      </c>
    </row>
    <row r="160" spans="1:5" ht="14.25" customHeight="1" x14ac:dyDescent="0.3">
      <c r="A160" s="12">
        <v>43960</v>
      </c>
      <c r="B160" s="7" t="s">
        <v>21</v>
      </c>
      <c r="C160" s="7">
        <v>59</v>
      </c>
      <c r="D160" s="7">
        <v>12016</v>
      </c>
      <c r="E160" s="7">
        <v>11137</v>
      </c>
    </row>
    <row r="161" spans="1:5" ht="14.25" customHeight="1" x14ac:dyDescent="0.3">
      <c r="A161" s="12">
        <v>43960</v>
      </c>
      <c r="B161" s="7" t="s">
        <v>13</v>
      </c>
      <c r="C161" s="7">
        <v>19</v>
      </c>
      <c r="D161" s="7">
        <v>1851</v>
      </c>
      <c r="E161" s="7">
        <v>1635</v>
      </c>
    </row>
    <row r="162" spans="1:5" ht="14.25" customHeight="1" x14ac:dyDescent="0.3">
      <c r="A162" s="12">
        <v>43960</v>
      </c>
      <c r="B162" s="7" t="s">
        <v>23</v>
      </c>
      <c r="C162" s="7">
        <v>15</v>
      </c>
      <c r="D162" s="7">
        <v>654</v>
      </c>
      <c r="E162" s="7">
        <v>570</v>
      </c>
    </row>
    <row r="163" spans="1:5" ht="14.25" customHeight="1" x14ac:dyDescent="0.3">
      <c r="A163" s="12">
        <v>43960</v>
      </c>
      <c r="B163" s="7" t="s">
        <v>18</v>
      </c>
      <c r="C163" s="7">
        <v>15</v>
      </c>
      <c r="D163" s="7">
        <v>849</v>
      </c>
      <c r="E163" s="7">
        <v>740</v>
      </c>
    </row>
    <row r="164" spans="1:5" ht="14.25" customHeight="1" x14ac:dyDescent="0.3">
      <c r="A164" s="12">
        <v>43960</v>
      </c>
      <c r="B164" s="7" t="s">
        <v>19</v>
      </c>
      <c r="C164" s="7">
        <v>15</v>
      </c>
      <c r="D164" s="7">
        <v>623</v>
      </c>
      <c r="E164" s="7">
        <v>535</v>
      </c>
    </row>
    <row r="165" spans="1:5" ht="14.25" customHeight="1" x14ac:dyDescent="0.3">
      <c r="A165" s="12">
        <v>43960</v>
      </c>
      <c r="B165" s="7" t="s">
        <v>15</v>
      </c>
      <c r="C165" s="7">
        <v>125</v>
      </c>
      <c r="D165" s="7">
        <v>20132</v>
      </c>
      <c r="E165" s="7">
        <v>18617</v>
      </c>
    </row>
    <row r="166" spans="1:5" ht="14.25" customHeight="1" x14ac:dyDescent="0.3">
      <c r="A166" s="12">
        <v>43960</v>
      </c>
      <c r="B166" s="7" t="s">
        <v>14</v>
      </c>
      <c r="C166" s="7">
        <v>129</v>
      </c>
      <c r="D166" s="7">
        <v>16420</v>
      </c>
      <c r="E166" s="7">
        <v>15169</v>
      </c>
    </row>
    <row r="167" spans="1:5" ht="14.25" customHeight="1" x14ac:dyDescent="0.3">
      <c r="A167" s="12">
        <v>43960</v>
      </c>
      <c r="B167" s="7" t="s">
        <v>12</v>
      </c>
      <c r="C167" s="7">
        <v>10</v>
      </c>
      <c r="D167" s="7">
        <v>644</v>
      </c>
      <c r="E167" s="7">
        <v>559</v>
      </c>
    </row>
    <row r="168" spans="1:5" ht="14.25" customHeight="1" x14ac:dyDescent="0.3">
      <c r="A168" s="12">
        <v>43961</v>
      </c>
      <c r="B168" s="7" t="s">
        <v>16</v>
      </c>
      <c r="C168" s="7">
        <v>36</v>
      </c>
      <c r="D168" s="7">
        <v>5746</v>
      </c>
      <c r="E168" s="7">
        <v>5277</v>
      </c>
    </row>
    <row r="169" spans="1:5" ht="14.25" customHeight="1" x14ac:dyDescent="0.3">
      <c r="A169" s="12">
        <v>43961</v>
      </c>
      <c r="B169" s="7" t="s">
        <v>11</v>
      </c>
      <c r="C169" s="7">
        <v>31</v>
      </c>
      <c r="D169" s="7">
        <v>5495</v>
      </c>
      <c r="E169" s="7">
        <v>5093</v>
      </c>
    </row>
    <row r="170" spans="1:5" ht="14.25" customHeight="1" x14ac:dyDescent="0.3">
      <c r="A170" s="12">
        <v>43961</v>
      </c>
      <c r="B170" s="7" t="s">
        <v>17</v>
      </c>
      <c r="C170" s="7">
        <v>21</v>
      </c>
      <c r="D170" s="7">
        <v>2120</v>
      </c>
      <c r="E170" s="7">
        <v>1921</v>
      </c>
    </row>
    <row r="171" spans="1:5" ht="14.25" customHeight="1" x14ac:dyDescent="0.3">
      <c r="A171" s="12">
        <v>43961</v>
      </c>
      <c r="B171" s="7" t="s">
        <v>10</v>
      </c>
      <c r="C171" s="7">
        <v>21</v>
      </c>
      <c r="D171" s="7">
        <v>2016</v>
      </c>
      <c r="E171" s="7">
        <v>1846</v>
      </c>
    </row>
    <row r="172" spans="1:5" ht="14.25" customHeight="1" x14ac:dyDescent="0.3">
      <c r="A172" s="12">
        <v>43961</v>
      </c>
      <c r="B172" s="7" t="s">
        <v>20</v>
      </c>
      <c r="C172" s="7">
        <v>19</v>
      </c>
      <c r="D172" s="7">
        <v>1836</v>
      </c>
      <c r="E172" s="7">
        <v>1680</v>
      </c>
    </row>
    <row r="173" spans="1:5" ht="14.25" customHeight="1" x14ac:dyDescent="0.3">
      <c r="A173" s="12">
        <v>43961</v>
      </c>
      <c r="B173" s="7" t="s">
        <v>22</v>
      </c>
      <c r="C173" s="7">
        <v>54</v>
      </c>
      <c r="D173" s="7">
        <v>13832</v>
      </c>
      <c r="E173" s="7">
        <v>12864</v>
      </c>
    </row>
    <row r="174" spans="1:5" ht="14.25" customHeight="1" x14ac:dyDescent="0.3">
      <c r="A174" s="12">
        <v>43961</v>
      </c>
      <c r="B174" s="7" t="s">
        <v>21</v>
      </c>
      <c r="C174" s="7">
        <v>59</v>
      </c>
      <c r="D174" s="7">
        <v>14569</v>
      </c>
      <c r="E174" s="7">
        <v>13566</v>
      </c>
    </row>
    <row r="175" spans="1:5" ht="14.25" customHeight="1" x14ac:dyDescent="0.3">
      <c r="A175" s="12">
        <v>43961</v>
      </c>
      <c r="B175" s="7" t="s">
        <v>13</v>
      </c>
      <c r="C175" s="7">
        <v>19</v>
      </c>
      <c r="D175" s="7">
        <v>1848</v>
      </c>
      <c r="E175" s="7">
        <v>1649</v>
      </c>
    </row>
    <row r="176" spans="1:5" ht="14.25" customHeight="1" x14ac:dyDescent="0.3">
      <c r="A176" s="12">
        <v>43961</v>
      </c>
      <c r="B176" s="7" t="s">
        <v>23</v>
      </c>
      <c r="C176" s="7">
        <v>15</v>
      </c>
      <c r="D176" s="7">
        <v>792</v>
      </c>
      <c r="E176" s="7">
        <v>695</v>
      </c>
    </row>
    <row r="177" spans="1:5" ht="14.25" customHeight="1" x14ac:dyDescent="0.3">
      <c r="A177" s="12">
        <v>43961</v>
      </c>
      <c r="B177" s="7" t="s">
        <v>18</v>
      </c>
      <c r="C177" s="7">
        <v>15</v>
      </c>
      <c r="D177" s="7">
        <v>950</v>
      </c>
      <c r="E177" s="7">
        <v>848</v>
      </c>
    </row>
    <row r="178" spans="1:5" ht="14.25" customHeight="1" x14ac:dyDescent="0.3">
      <c r="A178" s="12">
        <v>43961</v>
      </c>
      <c r="B178" s="7" t="s">
        <v>19</v>
      </c>
      <c r="C178" s="7">
        <v>15</v>
      </c>
      <c r="D178" s="7">
        <v>706</v>
      </c>
      <c r="E178" s="7">
        <v>608</v>
      </c>
    </row>
    <row r="179" spans="1:5" ht="14.25" customHeight="1" x14ac:dyDescent="0.3">
      <c r="A179" s="12">
        <v>43961</v>
      </c>
      <c r="B179" s="7" t="s">
        <v>15</v>
      </c>
      <c r="C179" s="7">
        <v>125</v>
      </c>
      <c r="D179" s="7">
        <v>20368</v>
      </c>
      <c r="E179" s="7">
        <v>18884</v>
      </c>
    </row>
    <row r="180" spans="1:5" ht="14.25" customHeight="1" x14ac:dyDescent="0.3">
      <c r="A180" s="12">
        <v>43961</v>
      </c>
      <c r="B180" s="7" t="s">
        <v>14</v>
      </c>
      <c r="C180" s="7">
        <v>129</v>
      </c>
      <c r="D180" s="7">
        <v>16437</v>
      </c>
      <c r="E180" s="7">
        <v>15285</v>
      </c>
    </row>
    <row r="181" spans="1:5" ht="14.25" customHeight="1" x14ac:dyDescent="0.3">
      <c r="A181" s="12">
        <v>43961</v>
      </c>
      <c r="B181" s="7" t="s">
        <v>12</v>
      </c>
      <c r="C181" s="7">
        <v>10</v>
      </c>
      <c r="D181" s="7">
        <v>642</v>
      </c>
      <c r="E181" s="7">
        <v>556</v>
      </c>
    </row>
    <row r="182" spans="1:5" ht="14.25" customHeight="1" x14ac:dyDescent="0.3">
      <c r="A182" s="12">
        <v>43962</v>
      </c>
      <c r="B182" s="7" t="s">
        <v>16</v>
      </c>
      <c r="C182" s="7">
        <v>36</v>
      </c>
      <c r="D182" s="7">
        <v>4150</v>
      </c>
      <c r="E182" s="7">
        <v>3838</v>
      </c>
    </row>
    <row r="183" spans="1:5" ht="14.25" customHeight="1" x14ac:dyDescent="0.3">
      <c r="A183" s="12">
        <v>43962</v>
      </c>
      <c r="B183" s="7" t="s">
        <v>11</v>
      </c>
      <c r="C183" s="7">
        <v>31</v>
      </c>
      <c r="D183" s="7">
        <v>4826</v>
      </c>
      <c r="E183" s="7">
        <v>4483</v>
      </c>
    </row>
    <row r="184" spans="1:5" ht="14.25" customHeight="1" x14ac:dyDescent="0.3">
      <c r="A184" s="12">
        <v>43962</v>
      </c>
      <c r="B184" s="7" t="s">
        <v>17</v>
      </c>
      <c r="C184" s="7">
        <v>21</v>
      </c>
      <c r="D184" s="7">
        <v>1916</v>
      </c>
      <c r="E184" s="7">
        <v>1733</v>
      </c>
    </row>
    <row r="185" spans="1:5" ht="14.25" customHeight="1" x14ac:dyDescent="0.3">
      <c r="A185" s="12">
        <v>43962</v>
      </c>
      <c r="B185" s="7" t="s">
        <v>10</v>
      </c>
      <c r="C185" s="7">
        <v>21</v>
      </c>
      <c r="D185" s="7">
        <v>1597</v>
      </c>
      <c r="E185" s="7">
        <v>1457</v>
      </c>
    </row>
    <row r="186" spans="1:5" ht="14.25" customHeight="1" x14ac:dyDescent="0.3">
      <c r="A186" s="12">
        <v>43962</v>
      </c>
      <c r="B186" s="7" t="s">
        <v>20</v>
      </c>
      <c r="C186" s="7">
        <v>19</v>
      </c>
      <c r="D186" s="7">
        <v>1527</v>
      </c>
      <c r="E186" s="7">
        <v>1389</v>
      </c>
    </row>
    <row r="187" spans="1:5" ht="14.25" customHeight="1" x14ac:dyDescent="0.3">
      <c r="A187" s="12">
        <v>43962</v>
      </c>
      <c r="B187" s="7" t="s">
        <v>22</v>
      </c>
      <c r="C187" s="7">
        <v>54</v>
      </c>
      <c r="D187" s="7">
        <v>10570</v>
      </c>
      <c r="E187" s="7">
        <v>9926</v>
      </c>
    </row>
    <row r="188" spans="1:5" ht="14.25" customHeight="1" x14ac:dyDescent="0.3">
      <c r="A188" s="12">
        <v>43962</v>
      </c>
      <c r="B188" s="7" t="s">
        <v>21</v>
      </c>
      <c r="C188" s="7">
        <v>60</v>
      </c>
      <c r="D188" s="7">
        <v>11100</v>
      </c>
      <c r="E188" s="7">
        <v>10407</v>
      </c>
    </row>
    <row r="189" spans="1:5" ht="14.25" customHeight="1" x14ac:dyDescent="0.3">
      <c r="A189" s="12">
        <v>43962</v>
      </c>
      <c r="B189" s="7" t="s">
        <v>13</v>
      </c>
      <c r="C189" s="7">
        <v>19</v>
      </c>
      <c r="D189" s="7">
        <v>2530</v>
      </c>
      <c r="E189" s="7">
        <v>2270</v>
      </c>
    </row>
    <row r="190" spans="1:5" ht="14.25" customHeight="1" x14ac:dyDescent="0.3">
      <c r="A190" s="12">
        <v>43962</v>
      </c>
      <c r="B190" s="7" t="s">
        <v>23</v>
      </c>
      <c r="C190" s="7">
        <v>15</v>
      </c>
      <c r="D190" s="7">
        <v>654</v>
      </c>
      <c r="E190" s="7">
        <v>564</v>
      </c>
    </row>
    <row r="191" spans="1:5" ht="14.25" customHeight="1" x14ac:dyDescent="0.3">
      <c r="A191" s="12">
        <v>43962</v>
      </c>
      <c r="B191" s="7" t="s">
        <v>18</v>
      </c>
      <c r="C191" s="7">
        <v>15</v>
      </c>
      <c r="D191" s="7">
        <v>812</v>
      </c>
      <c r="E191" s="7">
        <v>714</v>
      </c>
    </row>
    <row r="192" spans="1:5" ht="14.25" customHeight="1" x14ac:dyDescent="0.3">
      <c r="A192" s="12">
        <v>43962</v>
      </c>
      <c r="B192" s="7" t="s">
        <v>19</v>
      </c>
      <c r="C192" s="7">
        <v>15</v>
      </c>
      <c r="D192" s="7">
        <v>684</v>
      </c>
      <c r="E192" s="7">
        <v>585</v>
      </c>
    </row>
    <row r="193" spans="1:5" ht="14.25" customHeight="1" x14ac:dyDescent="0.3">
      <c r="A193" s="12">
        <v>43962</v>
      </c>
      <c r="B193" s="7" t="s">
        <v>15</v>
      </c>
      <c r="C193" s="7">
        <v>125</v>
      </c>
      <c r="D193" s="7">
        <v>18066</v>
      </c>
      <c r="E193" s="7">
        <v>16883</v>
      </c>
    </row>
    <row r="194" spans="1:5" ht="14.25" customHeight="1" x14ac:dyDescent="0.3">
      <c r="A194" s="12">
        <v>43962</v>
      </c>
      <c r="B194" s="7" t="s">
        <v>14</v>
      </c>
      <c r="C194" s="7">
        <v>129</v>
      </c>
      <c r="D194" s="7">
        <v>14043</v>
      </c>
      <c r="E194" s="7">
        <v>13167</v>
      </c>
    </row>
    <row r="195" spans="1:5" ht="14.25" customHeight="1" x14ac:dyDescent="0.3">
      <c r="A195" s="12">
        <v>43962</v>
      </c>
      <c r="B195" s="7" t="s">
        <v>12</v>
      </c>
      <c r="C195" s="7">
        <v>10</v>
      </c>
      <c r="D195" s="7">
        <v>494</v>
      </c>
      <c r="E195" s="7">
        <v>421</v>
      </c>
    </row>
    <row r="196" spans="1:5" ht="14.25" customHeight="1" x14ac:dyDescent="0.3">
      <c r="A196" s="12">
        <v>43963</v>
      </c>
      <c r="B196" s="7" t="s">
        <v>16</v>
      </c>
      <c r="C196" s="7">
        <v>36</v>
      </c>
      <c r="D196" s="7">
        <v>4418</v>
      </c>
      <c r="E196" s="7">
        <v>4088</v>
      </c>
    </row>
    <row r="197" spans="1:5" ht="14.25" customHeight="1" x14ac:dyDescent="0.3">
      <c r="A197" s="12">
        <v>43963</v>
      </c>
      <c r="B197" s="7" t="s">
        <v>11</v>
      </c>
      <c r="C197" s="7">
        <v>31</v>
      </c>
      <c r="D197" s="7">
        <v>4800</v>
      </c>
      <c r="E197" s="7">
        <v>4470</v>
      </c>
    </row>
    <row r="198" spans="1:5" ht="14.25" customHeight="1" x14ac:dyDescent="0.3">
      <c r="A198" s="12">
        <v>43963</v>
      </c>
      <c r="B198" s="7" t="s">
        <v>17</v>
      </c>
      <c r="C198" s="7">
        <v>21</v>
      </c>
      <c r="D198" s="7">
        <v>1926</v>
      </c>
      <c r="E198" s="7">
        <v>1745</v>
      </c>
    </row>
    <row r="199" spans="1:5" ht="14.25" customHeight="1" x14ac:dyDescent="0.3">
      <c r="A199" s="12">
        <v>43963</v>
      </c>
      <c r="B199" s="7" t="s">
        <v>10</v>
      </c>
      <c r="C199" s="7">
        <v>21</v>
      </c>
      <c r="D199" s="7">
        <v>1656</v>
      </c>
      <c r="E199" s="7">
        <v>1516</v>
      </c>
    </row>
    <row r="200" spans="1:5" ht="14.25" customHeight="1" x14ac:dyDescent="0.3">
      <c r="A200" s="12">
        <v>43963</v>
      </c>
      <c r="B200" s="7" t="s">
        <v>20</v>
      </c>
      <c r="C200" s="7">
        <v>19</v>
      </c>
      <c r="D200" s="7">
        <v>1598</v>
      </c>
      <c r="E200" s="7">
        <v>1454</v>
      </c>
    </row>
    <row r="201" spans="1:5" ht="14.25" customHeight="1" x14ac:dyDescent="0.3">
      <c r="A201" s="12">
        <v>43963</v>
      </c>
      <c r="B201" s="7" t="s">
        <v>22</v>
      </c>
      <c r="C201" s="7">
        <v>54</v>
      </c>
      <c r="D201" s="7">
        <v>11614</v>
      </c>
      <c r="E201" s="7">
        <v>10862</v>
      </c>
    </row>
    <row r="202" spans="1:5" ht="14.25" customHeight="1" x14ac:dyDescent="0.3">
      <c r="A202" s="12">
        <v>43963</v>
      </c>
      <c r="B202" s="7" t="s">
        <v>21</v>
      </c>
      <c r="C202" s="7">
        <v>60</v>
      </c>
      <c r="D202" s="7">
        <v>12000</v>
      </c>
      <c r="E202" s="7">
        <v>11194</v>
      </c>
    </row>
    <row r="203" spans="1:5" ht="14.25" customHeight="1" x14ac:dyDescent="0.3">
      <c r="A203" s="12">
        <v>43963</v>
      </c>
      <c r="B203" s="7" t="s">
        <v>13</v>
      </c>
      <c r="C203" s="7">
        <v>19</v>
      </c>
      <c r="D203" s="7">
        <v>1649</v>
      </c>
      <c r="E203" s="7">
        <v>1460</v>
      </c>
    </row>
    <row r="204" spans="1:5" ht="14.25" customHeight="1" x14ac:dyDescent="0.3">
      <c r="A204" s="12">
        <v>43963</v>
      </c>
      <c r="B204" s="7" t="s">
        <v>23</v>
      </c>
      <c r="C204" s="7">
        <v>15</v>
      </c>
      <c r="D204" s="7">
        <v>750</v>
      </c>
      <c r="E204" s="7">
        <v>659</v>
      </c>
    </row>
    <row r="205" spans="1:5" ht="14.25" customHeight="1" x14ac:dyDescent="0.3">
      <c r="A205" s="12">
        <v>43963</v>
      </c>
      <c r="B205" s="7" t="s">
        <v>18</v>
      </c>
      <c r="C205" s="7">
        <v>15</v>
      </c>
      <c r="D205" s="7">
        <v>845</v>
      </c>
      <c r="E205" s="7">
        <v>743</v>
      </c>
    </row>
    <row r="206" spans="1:5" ht="14.25" customHeight="1" x14ac:dyDescent="0.3">
      <c r="A206" s="12">
        <v>43963</v>
      </c>
      <c r="B206" s="7" t="s">
        <v>19</v>
      </c>
      <c r="C206" s="7">
        <v>15</v>
      </c>
      <c r="D206" s="7">
        <v>624</v>
      </c>
      <c r="E206" s="7">
        <v>538</v>
      </c>
    </row>
    <row r="207" spans="1:5" ht="14.25" customHeight="1" x14ac:dyDescent="0.3">
      <c r="A207" s="12">
        <v>43963</v>
      </c>
      <c r="B207" s="7" t="s">
        <v>15</v>
      </c>
      <c r="C207" s="7">
        <v>125</v>
      </c>
      <c r="D207" s="7">
        <v>21106</v>
      </c>
      <c r="E207" s="7">
        <v>19651</v>
      </c>
    </row>
    <row r="208" spans="1:5" ht="14.25" customHeight="1" x14ac:dyDescent="0.3">
      <c r="A208" s="12">
        <v>43963</v>
      </c>
      <c r="B208" s="7" t="s">
        <v>14</v>
      </c>
      <c r="C208" s="7">
        <v>129</v>
      </c>
      <c r="D208" s="7">
        <v>16387</v>
      </c>
      <c r="E208" s="7">
        <v>15322</v>
      </c>
    </row>
    <row r="209" spans="1:5" ht="14.25" customHeight="1" x14ac:dyDescent="0.3">
      <c r="A209" s="12">
        <v>43963</v>
      </c>
      <c r="B209" s="7" t="s">
        <v>12</v>
      </c>
      <c r="C209" s="7">
        <v>10</v>
      </c>
      <c r="D209" s="7">
        <v>526</v>
      </c>
      <c r="E209" s="7">
        <v>448</v>
      </c>
    </row>
    <row r="210" spans="1:5" ht="14.25" customHeight="1" x14ac:dyDescent="0.3">
      <c r="A210" s="12">
        <v>43964</v>
      </c>
      <c r="B210" s="7" t="s">
        <v>16</v>
      </c>
      <c r="C210" s="7">
        <v>36</v>
      </c>
      <c r="D210" s="7">
        <v>4967</v>
      </c>
      <c r="E210" s="7">
        <v>4583</v>
      </c>
    </row>
    <row r="211" spans="1:5" ht="14.25" customHeight="1" x14ac:dyDescent="0.3">
      <c r="A211" s="12">
        <v>43964</v>
      </c>
      <c r="B211" s="7" t="s">
        <v>11</v>
      </c>
      <c r="C211" s="7">
        <v>31</v>
      </c>
      <c r="D211" s="7">
        <v>5251</v>
      </c>
      <c r="E211" s="7">
        <v>4853</v>
      </c>
    </row>
    <row r="212" spans="1:5" ht="14.25" customHeight="1" x14ac:dyDescent="0.3">
      <c r="A212" s="12">
        <v>43964</v>
      </c>
      <c r="B212" s="7" t="s">
        <v>17</v>
      </c>
      <c r="C212" s="7">
        <v>21</v>
      </c>
      <c r="D212" s="7">
        <v>2061</v>
      </c>
      <c r="E212" s="7">
        <v>1876</v>
      </c>
    </row>
    <row r="213" spans="1:5" ht="14.25" customHeight="1" x14ac:dyDescent="0.3">
      <c r="A213" s="12">
        <v>43964</v>
      </c>
      <c r="B213" s="7" t="s">
        <v>10</v>
      </c>
      <c r="C213" s="7">
        <v>21</v>
      </c>
      <c r="D213" s="7">
        <v>1698</v>
      </c>
      <c r="E213" s="7">
        <v>1554</v>
      </c>
    </row>
    <row r="214" spans="1:5" ht="14.25" customHeight="1" x14ac:dyDescent="0.3">
      <c r="A214" s="12">
        <v>43964</v>
      </c>
      <c r="B214" s="7" t="s">
        <v>20</v>
      </c>
      <c r="C214" s="7">
        <v>19</v>
      </c>
      <c r="D214" s="7">
        <v>1605</v>
      </c>
      <c r="E214" s="7">
        <v>1447</v>
      </c>
    </row>
    <row r="215" spans="1:5" ht="14.25" customHeight="1" x14ac:dyDescent="0.3">
      <c r="A215" s="12">
        <v>43964</v>
      </c>
      <c r="B215" s="7" t="s">
        <v>22</v>
      </c>
      <c r="C215" s="7">
        <v>54</v>
      </c>
      <c r="D215" s="7">
        <v>11522</v>
      </c>
      <c r="E215" s="7">
        <v>10803</v>
      </c>
    </row>
    <row r="216" spans="1:5" ht="14.25" customHeight="1" x14ac:dyDescent="0.3">
      <c r="A216" s="12">
        <v>43964</v>
      </c>
      <c r="B216" s="7" t="s">
        <v>21</v>
      </c>
      <c r="C216" s="7">
        <v>60</v>
      </c>
      <c r="D216" s="7">
        <v>12007</v>
      </c>
      <c r="E216" s="7">
        <v>11245</v>
      </c>
    </row>
    <row r="217" spans="1:5" ht="14.25" customHeight="1" x14ac:dyDescent="0.3">
      <c r="A217" s="12">
        <v>43964</v>
      </c>
      <c r="B217" s="7" t="s">
        <v>13</v>
      </c>
      <c r="C217" s="7">
        <v>19</v>
      </c>
      <c r="D217" s="7">
        <v>1625</v>
      </c>
      <c r="E217" s="7">
        <v>1444</v>
      </c>
    </row>
    <row r="218" spans="1:5" ht="14.25" customHeight="1" x14ac:dyDescent="0.3">
      <c r="A218" s="12">
        <v>43964</v>
      </c>
      <c r="B218" s="7" t="s">
        <v>23</v>
      </c>
      <c r="C218" s="7">
        <v>15</v>
      </c>
      <c r="D218" s="7">
        <v>854</v>
      </c>
      <c r="E218" s="7">
        <v>756</v>
      </c>
    </row>
    <row r="219" spans="1:5" ht="14.25" customHeight="1" x14ac:dyDescent="0.3">
      <c r="A219" s="12">
        <v>43964</v>
      </c>
      <c r="B219" s="7" t="s">
        <v>18</v>
      </c>
      <c r="C219" s="7">
        <v>15</v>
      </c>
      <c r="D219" s="7">
        <v>898</v>
      </c>
      <c r="E219" s="7">
        <v>795</v>
      </c>
    </row>
    <row r="220" spans="1:5" ht="14.25" customHeight="1" x14ac:dyDescent="0.3">
      <c r="A220" s="12">
        <v>43964</v>
      </c>
      <c r="B220" s="7" t="s">
        <v>19</v>
      </c>
      <c r="C220" s="7">
        <v>15</v>
      </c>
      <c r="D220" s="7">
        <v>599</v>
      </c>
      <c r="E220" s="7">
        <v>515</v>
      </c>
    </row>
    <row r="221" spans="1:5" ht="14.25" customHeight="1" x14ac:dyDescent="0.3">
      <c r="A221" s="12">
        <v>43964</v>
      </c>
      <c r="B221" s="7" t="s">
        <v>15</v>
      </c>
      <c r="C221" s="7">
        <v>125</v>
      </c>
      <c r="D221" s="7">
        <v>19965</v>
      </c>
      <c r="E221" s="7">
        <v>18573</v>
      </c>
    </row>
    <row r="222" spans="1:5" ht="14.25" customHeight="1" x14ac:dyDescent="0.3">
      <c r="A222" s="12">
        <v>43964</v>
      </c>
      <c r="B222" s="7" t="s">
        <v>14</v>
      </c>
      <c r="C222" s="7">
        <v>129</v>
      </c>
      <c r="D222" s="7">
        <v>15304</v>
      </c>
      <c r="E222" s="7">
        <v>14315</v>
      </c>
    </row>
    <row r="223" spans="1:5" ht="14.25" customHeight="1" x14ac:dyDescent="0.3">
      <c r="A223" s="12">
        <v>43964</v>
      </c>
      <c r="B223" s="7" t="s">
        <v>12</v>
      </c>
      <c r="C223" s="7">
        <v>10</v>
      </c>
      <c r="D223" s="7">
        <v>612</v>
      </c>
      <c r="E223" s="7">
        <v>530</v>
      </c>
    </row>
    <row r="224" spans="1:5" ht="14.25" customHeight="1" x14ac:dyDescent="0.3">
      <c r="A224" s="12">
        <v>43965</v>
      </c>
      <c r="B224" s="7" t="s">
        <v>16</v>
      </c>
      <c r="C224" s="7">
        <v>36</v>
      </c>
      <c r="D224" s="7">
        <v>4285</v>
      </c>
      <c r="E224" s="7">
        <v>3950</v>
      </c>
    </row>
    <row r="225" spans="1:5" ht="14.25" customHeight="1" x14ac:dyDescent="0.3">
      <c r="A225" s="12">
        <v>43965</v>
      </c>
      <c r="B225" s="7" t="s">
        <v>11</v>
      </c>
      <c r="C225" s="7">
        <v>31</v>
      </c>
      <c r="D225" s="7">
        <v>4695</v>
      </c>
      <c r="E225" s="7">
        <v>4372</v>
      </c>
    </row>
    <row r="226" spans="1:5" ht="14.25" customHeight="1" x14ac:dyDescent="0.3">
      <c r="A226" s="12">
        <v>43965</v>
      </c>
      <c r="B226" s="7" t="s">
        <v>17</v>
      </c>
      <c r="C226" s="7">
        <v>21</v>
      </c>
      <c r="D226" s="7">
        <v>1993</v>
      </c>
      <c r="E226" s="7">
        <v>1796</v>
      </c>
    </row>
    <row r="227" spans="1:5" ht="14.25" customHeight="1" x14ac:dyDescent="0.3">
      <c r="A227" s="12">
        <v>43965</v>
      </c>
      <c r="B227" s="7" t="s">
        <v>10</v>
      </c>
      <c r="C227" s="7">
        <v>21</v>
      </c>
      <c r="D227" s="7">
        <v>1706</v>
      </c>
      <c r="E227" s="7">
        <v>1548</v>
      </c>
    </row>
    <row r="228" spans="1:5" ht="14.25" customHeight="1" x14ac:dyDescent="0.3">
      <c r="A228" s="12">
        <v>43965</v>
      </c>
      <c r="B228" s="7" t="s">
        <v>20</v>
      </c>
      <c r="C228" s="7">
        <v>19</v>
      </c>
      <c r="D228" s="7">
        <v>1635</v>
      </c>
      <c r="E228" s="7">
        <v>1487</v>
      </c>
    </row>
    <row r="229" spans="1:5" ht="14.25" customHeight="1" x14ac:dyDescent="0.3">
      <c r="A229" s="12">
        <v>43965</v>
      </c>
      <c r="B229" s="7" t="s">
        <v>22</v>
      </c>
      <c r="C229" s="7">
        <v>54</v>
      </c>
      <c r="D229" s="7">
        <v>11194</v>
      </c>
      <c r="E229" s="7">
        <v>10554</v>
      </c>
    </row>
    <row r="230" spans="1:5" ht="14.25" customHeight="1" x14ac:dyDescent="0.3">
      <c r="A230" s="12">
        <v>43965</v>
      </c>
      <c r="B230" s="7" t="s">
        <v>21</v>
      </c>
      <c r="C230" s="7">
        <v>60</v>
      </c>
      <c r="D230" s="7">
        <v>11935</v>
      </c>
      <c r="E230" s="7">
        <v>11178</v>
      </c>
    </row>
    <row r="231" spans="1:5" ht="14.25" customHeight="1" x14ac:dyDescent="0.3">
      <c r="A231" s="12">
        <v>43965</v>
      </c>
      <c r="B231" s="7" t="s">
        <v>13</v>
      </c>
      <c r="C231" s="7">
        <v>19</v>
      </c>
      <c r="D231" s="7">
        <v>1675</v>
      </c>
      <c r="E231" s="7">
        <v>1475</v>
      </c>
    </row>
    <row r="232" spans="1:5" ht="14.25" customHeight="1" x14ac:dyDescent="0.3">
      <c r="A232" s="12">
        <v>43965</v>
      </c>
      <c r="B232" s="7" t="s">
        <v>23</v>
      </c>
      <c r="C232" s="7">
        <v>16</v>
      </c>
      <c r="D232" s="7">
        <v>834</v>
      </c>
      <c r="E232" s="7">
        <v>735</v>
      </c>
    </row>
    <row r="233" spans="1:5" ht="14.25" customHeight="1" x14ac:dyDescent="0.3">
      <c r="A233" s="12">
        <v>43965</v>
      </c>
      <c r="B233" s="7" t="s">
        <v>18</v>
      </c>
      <c r="C233" s="7">
        <v>15</v>
      </c>
      <c r="D233" s="7">
        <v>890</v>
      </c>
      <c r="E233" s="7">
        <v>777</v>
      </c>
    </row>
    <row r="234" spans="1:5" ht="14.25" customHeight="1" x14ac:dyDescent="0.3">
      <c r="A234" s="12">
        <v>43965</v>
      </c>
      <c r="B234" s="7" t="s">
        <v>19</v>
      </c>
      <c r="C234" s="7">
        <v>15</v>
      </c>
      <c r="D234" s="7">
        <v>638</v>
      </c>
      <c r="E234" s="7">
        <v>548</v>
      </c>
    </row>
    <row r="235" spans="1:5" ht="14.25" customHeight="1" x14ac:dyDescent="0.3">
      <c r="A235" s="12">
        <v>43965</v>
      </c>
      <c r="B235" s="7" t="s">
        <v>15</v>
      </c>
      <c r="C235" s="7">
        <v>125</v>
      </c>
      <c r="D235" s="7">
        <v>20247</v>
      </c>
      <c r="E235" s="7">
        <v>18812</v>
      </c>
    </row>
    <row r="236" spans="1:5" ht="14.25" customHeight="1" x14ac:dyDescent="0.3">
      <c r="A236" s="12">
        <v>43965</v>
      </c>
      <c r="B236" s="7" t="s">
        <v>14</v>
      </c>
      <c r="C236" s="7">
        <v>129</v>
      </c>
      <c r="D236" s="7">
        <v>15804</v>
      </c>
      <c r="E236" s="7">
        <v>14738</v>
      </c>
    </row>
    <row r="237" spans="1:5" ht="14.25" customHeight="1" x14ac:dyDescent="0.3">
      <c r="A237" s="12">
        <v>43965</v>
      </c>
      <c r="B237" s="7" t="s">
        <v>12</v>
      </c>
      <c r="C237" s="7">
        <v>10</v>
      </c>
      <c r="D237" s="7">
        <v>627</v>
      </c>
      <c r="E237" s="7">
        <v>545</v>
      </c>
    </row>
    <row r="238" spans="1:5" ht="14.25" customHeight="1" x14ac:dyDescent="0.3">
      <c r="A238" s="12">
        <v>43966</v>
      </c>
      <c r="B238" s="7" t="s">
        <v>16</v>
      </c>
      <c r="C238" s="7">
        <v>36</v>
      </c>
      <c r="D238" s="7">
        <v>4862</v>
      </c>
      <c r="E238" s="7">
        <v>4476</v>
      </c>
    </row>
    <row r="239" spans="1:5" ht="14.25" customHeight="1" x14ac:dyDescent="0.3">
      <c r="A239" s="12">
        <v>43966</v>
      </c>
      <c r="B239" s="7" t="s">
        <v>11</v>
      </c>
      <c r="C239" s="7">
        <v>31</v>
      </c>
      <c r="D239" s="7">
        <v>5184</v>
      </c>
      <c r="E239" s="7">
        <v>4778</v>
      </c>
    </row>
    <row r="240" spans="1:5" ht="14.25" customHeight="1" x14ac:dyDescent="0.3">
      <c r="A240" s="12">
        <v>43966</v>
      </c>
      <c r="B240" s="7" t="s">
        <v>17</v>
      </c>
      <c r="C240" s="7">
        <v>21</v>
      </c>
      <c r="D240" s="7">
        <v>2255</v>
      </c>
      <c r="E240" s="7">
        <v>2045</v>
      </c>
    </row>
    <row r="241" spans="1:5" ht="14.25" customHeight="1" x14ac:dyDescent="0.3">
      <c r="A241" s="12">
        <v>43966</v>
      </c>
      <c r="B241" s="7" t="s">
        <v>10</v>
      </c>
      <c r="C241" s="7">
        <v>21</v>
      </c>
      <c r="D241" s="7">
        <v>1926</v>
      </c>
      <c r="E241" s="7">
        <v>1742</v>
      </c>
    </row>
    <row r="242" spans="1:5" ht="14.25" customHeight="1" x14ac:dyDescent="0.3">
      <c r="A242" s="12">
        <v>43966</v>
      </c>
      <c r="B242" s="7" t="s">
        <v>20</v>
      </c>
      <c r="C242" s="7">
        <v>19</v>
      </c>
      <c r="D242" s="7">
        <v>1780</v>
      </c>
      <c r="E242" s="7">
        <v>1615</v>
      </c>
    </row>
    <row r="243" spans="1:5" ht="14.25" customHeight="1" x14ac:dyDescent="0.3">
      <c r="A243" s="12">
        <v>43966</v>
      </c>
      <c r="B243" s="7" t="s">
        <v>22</v>
      </c>
      <c r="C243" s="7">
        <v>54</v>
      </c>
      <c r="D243" s="7">
        <v>12791</v>
      </c>
      <c r="E243" s="7">
        <v>11950</v>
      </c>
    </row>
    <row r="244" spans="1:5" ht="14.25" customHeight="1" x14ac:dyDescent="0.3">
      <c r="A244" s="12">
        <v>43966</v>
      </c>
      <c r="B244" s="7" t="s">
        <v>21</v>
      </c>
      <c r="C244" s="7">
        <v>60</v>
      </c>
      <c r="D244" s="7">
        <v>13544</v>
      </c>
      <c r="E244" s="7">
        <v>12643</v>
      </c>
    </row>
    <row r="245" spans="1:5" ht="14.25" customHeight="1" x14ac:dyDescent="0.3">
      <c r="A245" s="12">
        <v>43966</v>
      </c>
      <c r="B245" s="7" t="s">
        <v>13</v>
      </c>
      <c r="C245" s="7">
        <v>19</v>
      </c>
      <c r="D245" s="7">
        <v>1940</v>
      </c>
      <c r="E245" s="7">
        <v>1715</v>
      </c>
    </row>
    <row r="246" spans="1:5" ht="14.25" customHeight="1" x14ac:dyDescent="0.3">
      <c r="A246" s="12">
        <v>43966</v>
      </c>
      <c r="B246" s="7" t="s">
        <v>23</v>
      </c>
      <c r="C246" s="7">
        <v>16</v>
      </c>
      <c r="D246" s="7">
        <v>817</v>
      </c>
      <c r="E246" s="7">
        <v>718</v>
      </c>
    </row>
    <row r="247" spans="1:5" ht="14.25" customHeight="1" x14ac:dyDescent="0.3">
      <c r="A247" s="12">
        <v>43966</v>
      </c>
      <c r="B247" s="7" t="s">
        <v>18</v>
      </c>
      <c r="C247" s="7">
        <v>15</v>
      </c>
      <c r="D247" s="7">
        <v>980</v>
      </c>
      <c r="E247" s="7">
        <v>867</v>
      </c>
    </row>
    <row r="248" spans="1:5" ht="14.25" customHeight="1" x14ac:dyDescent="0.3">
      <c r="A248" s="12">
        <v>43966</v>
      </c>
      <c r="B248" s="7" t="s">
        <v>19</v>
      </c>
      <c r="C248" s="7">
        <v>15</v>
      </c>
      <c r="D248" s="7">
        <v>688</v>
      </c>
      <c r="E248" s="7">
        <v>598</v>
      </c>
    </row>
    <row r="249" spans="1:5" ht="14.25" customHeight="1" x14ac:dyDescent="0.3">
      <c r="A249" s="12">
        <v>43966</v>
      </c>
      <c r="B249" s="7" t="s">
        <v>15</v>
      </c>
      <c r="C249" s="7">
        <v>125</v>
      </c>
      <c r="D249" s="7">
        <v>21862</v>
      </c>
      <c r="E249" s="7">
        <v>20235</v>
      </c>
    </row>
    <row r="250" spans="1:5" ht="14.25" customHeight="1" x14ac:dyDescent="0.3">
      <c r="A250" s="12">
        <v>43966</v>
      </c>
      <c r="B250" s="7" t="s">
        <v>14</v>
      </c>
      <c r="C250" s="7">
        <v>129</v>
      </c>
      <c r="D250" s="7">
        <v>17808</v>
      </c>
      <c r="E250" s="7">
        <v>16486</v>
      </c>
    </row>
    <row r="251" spans="1:5" ht="14.25" customHeight="1" x14ac:dyDescent="0.3">
      <c r="A251" s="12">
        <v>43966</v>
      </c>
      <c r="B251" s="7" t="s">
        <v>12</v>
      </c>
      <c r="C251" s="7">
        <v>10</v>
      </c>
      <c r="D251" s="7">
        <v>743</v>
      </c>
      <c r="E251" s="7">
        <v>652</v>
      </c>
    </row>
    <row r="252" spans="1:5" ht="14.25" customHeight="1" x14ac:dyDescent="0.3">
      <c r="A252" s="12">
        <v>43967</v>
      </c>
      <c r="B252" s="7" t="s">
        <v>16</v>
      </c>
      <c r="C252" s="7">
        <v>36</v>
      </c>
      <c r="D252" s="7">
        <v>5286</v>
      </c>
      <c r="E252" s="7">
        <v>4867</v>
      </c>
    </row>
    <row r="253" spans="1:5" ht="14.25" customHeight="1" x14ac:dyDescent="0.3">
      <c r="A253" s="12">
        <v>43967</v>
      </c>
      <c r="B253" s="7" t="s">
        <v>11</v>
      </c>
      <c r="C253" s="7">
        <v>31</v>
      </c>
      <c r="D253" s="7">
        <v>5593</v>
      </c>
      <c r="E253" s="7">
        <v>5177</v>
      </c>
    </row>
    <row r="254" spans="1:5" ht="14.25" customHeight="1" x14ac:dyDescent="0.3">
      <c r="A254" s="12">
        <v>43967</v>
      </c>
      <c r="B254" s="7" t="s">
        <v>17</v>
      </c>
      <c r="C254" s="7">
        <v>21</v>
      </c>
      <c r="D254" s="7">
        <v>2427</v>
      </c>
      <c r="E254" s="7">
        <v>2213</v>
      </c>
    </row>
    <row r="255" spans="1:5" ht="14.25" customHeight="1" x14ac:dyDescent="0.3">
      <c r="A255" s="12">
        <v>43967</v>
      </c>
      <c r="B255" s="7" t="s">
        <v>10</v>
      </c>
      <c r="C255" s="7">
        <v>21</v>
      </c>
      <c r="D255" s="7">
        <v>2145</v>
      </c>
      <c r="E255" s="7">
        <v>1947</v>
      </c>
    </row>
    <row r="256" spans="1:5" ht="14.25" customHeight="1" x14ac:dyDescent="0.3">
      <c r="A256" s="12">
        <v>43967</v>
      </c>
      <c r="B256" s="7" t="s">
        <v>20</v>
      </c>
      <c r="C256" s="7">
        <v>19</v>
      </c>
      <c r="D256" s="7">
        <v>2039</v>
      </c>
      <c r="E256" s="7">
        <v>1868</v>
      </c>
    </row>
    <row r="257" spans="1:5" ht="14.25" customHeight="1" x14ac:dyDescent="0.3">
      <c r="A257" s="12">
        <v>43967</v>
      </c>
      <c r="B257" s="7" t="s">
        <v>22</v>
      </c>
      <c r="C257" s="7">
        <v>54</v>
      </c>
      <c r="D257" s="7">
        <v>13170</v>
      </c>
      <c r="E257" s="7">
        <v>12299</v>
      </c>
    </row>
    <row r="258" spans="1:5" ht="14.25" customHeight="1" x14ac:dyDescent="0.3">
      <c r="A258" s="12">
        <v>43967</v>
      </c>
      <c r="B258" s="7" t="s">
        <v>21</v>
      </c>
      <c r="C258" s="7">
        <v>60</v>
      </c>
      <c r="D258" s="7">
        <v>14049</v>
      </c>
      <c r="E258" s="7">
        <v>13118</v>
      </c>
    </row>
    <row r="259" spans="1:5" ht="14.25" customHeight="1" x14ac:dyDescent="0.3">
      <c r="A259" s="12">
        <v>43967</v>
      </c>
      <c r="B259" s="7" t="s">
        <v>13</v>
      </c>
      <c r="C259" s="7">
        <v>19</v>
      </c>
      <c r="D259" s="7">
        <v>2080</v>
      </c>
      <c r="E259" s="7">
        <v>1844</v>
      </c>
    </row>
    <row r="260" spans="1:5" ht="14.25" customHeight="1" x14ac:dyDescent="0.3">
      <c r="A260" s="12">
        <v>43967</v>
      </c>
      <c r="B260" s="7" t="s">
        <v>23</v>
      </c>
      <c r="C260" s="7">
        <v>16</v>
      </c>
      <c r="D260" s="7">
        <v>920</v>
      </c>
      <c r="E260" s="7">
        <v>818</v>
      </c>
    </row>
    <row r="261" spans="1:5" ht="14.25" customHeight="1" x14ac:dyDescent="0.3">
      <c r="A261" s="12">
        <v>43967</v>
      </c>
      <c r="B261" s="7" t="s">
        <v>18</v>
      </c>
      <c r="C261" s="7">
        <v>15</v>
      </c>
      <c r="D261" s="7">
        <v>1111</v>
      </c>
      <c r="E261" s="7">
        <v>992</v>
      </c>
    </row>
    <row r="262" spans="1:5" ht="14.25" customHeight="1" x14ac:dyDescent="0.3">
      <c r="A262" s="12">
        <v>43967</v>
      </c>
      <c r="B262" s="7" t="s">
        <v>19</v>
      </c>
      <c r="C262" s="7">
        <v>15</v>
      </c>
      <c r="D262" s="7">
        <v>747</v>
      </c>
      <c r="E262" s="7">
        <v>647</v>
      </c>
    </row>
    <row r="263" spans="1:5" ht="14.25" customHeight="1" x14ac:dyDescent="0.3">
      <c r="A263" s="12">
        <v>43967</v>
      </c>
      <c r="B263" s="7" t="s">
        <v>15</v>
      </c>
      <c r="C263" s="7">
        <v>125</v>
      </c>
      <c r="D263" s="7">
        <v>22291</v>
      </c>
      <c r="E263" s="7">
        <v>20635</v>
      </c>
    </row>
    <row r="264" spans="1:5" ht="14.25" customHeight="1" x14ac:dyDescent="0.3">
      <c r="A264" s="12">
        <v>43967</v>
      </c>
      <c r="B264" s="7" t="s">
        <v>14</v>
      </c>
      <c r="C264" s="7">
        <v>129</v>
      </c>
      <c r="D264" s="7">
        <v>17914</v>
      </c>
      <c r="E264" s="7">
        <v>16631</v>
      </c>
    </row>
    <row r="265" spans="1:5" ht="14.25" customHeight="1" x14ac:dyDescent="0.3">
      <c r="A265" s="12">
        <v>43967</v>
      </c>
      <c r="B265" s="7" t="s">
        <v>12</v>
      </c>
      <c r="C265" s="7">
        <v>10</v>
      </c>
      <c r="D265" s="7">
        <v>760</v>
      </c>
      <c r="E265" s="7">
        <v>672</v>
      </c>
    </row>
    <row r="266" spans="1:5" ht="14.25" customHeight="1" x14ac:dyDescent="0.3">
      <c r="A266" s="12">
        <v>43968</v>
      </c>
      <c r="B266" s="7" t="s">
        <v>16</v>
      </c>
      <c r="C266" s="7">
        <v>36</v>
      </c>
      <c r="D266" s="7">
        <v>4918</v>
      </c>
      <c r="E266" s="7">
        <v>4554</v>
      </c>
    </row>
    <row r="267" spans="1:5" ht="14.25" customHeight="1" x14ac:dyDescent="0.3">
      <c r="A267" s="12">
        <v>43968</v>
      </c>
      <c r="B267" s="7" t="s">
        <v>11</v>
      </c>
      <c r="C267" s="7">
        <v>31</v>
      </c>
      <c r="D267" s="7">
        <v>5206</v>
      </c>
      <c r="E267" s="7">
        <v>4843</v>
      </c>
    </row>
    <row r="268" spans="1:5" ht="14.25" customHeight="1" x14ac:dyDescent="0.3">
      <c r="A268" s="12">
        <v>43968</v>
      </c>
      <c r="B268" s="7" t="s">
        <v>17</v>
      </c>
      <c r="C268" s="7">
        <v>21</v>
      </c>
      <c r="D268" s="7">
        <v>2054</v>
      </c>
      <c r="E268" s="7">
        <v>1883</v>
      </c>
    </row>
    <row r="269" spans="1:5" ht="14.25" customHeight="1" x14ac:dyDescent="0.3">
      <c r="A269" s="12">
        <v>43968</v>
      </c>
      <c r="B269" s="7" t="s">
        <v>10</v>
      </c>
      <c r="C269" s="7">
        <v>21</v>
      </c>
      <c r="D269" s="7">
        <v>1874</v>
      </c>
      <c r="E269" s="7">
        <v>1705</v>
      </c>
    </row>
    <row r="270" spans="1:5" ht="14.25" customHeight="1" x14ac:dyDescent="0.3">
      <c r="A270" s="12">
        <v>43968</v>
      </c>
      <c r="B270" s="7" t="s">
        <v>20</v>
      </c>
      <c r="C270" s="7">
        <v>19</v>
      </c>
      <c r="D270" s="7">
        <v>1790</v>
      </c>
      <c r="E270" s="7">
        <v>1633</v>
      </c>
    </row>
    <row r="271" spans="1:5" ht="14.25" customHeight="1" x14ac:dyDescent="0.3">
      <c r="A271" s="12">
        <v>43968</v>
      </c>
      <c r="B271" s="7" t="s">
        <v>22</v>
      </c>
      <c r="C271" s="7">
        <v>54</v>
      </c>
      <c r="D271" s="7">
        <v>11128</v>
      </c>
      <c r="E271" s="7">
        <v>10467</v>
      </c>
    </row>
    <row r="272" spans="1:5" ht="14.25" customHeight="1" x14ac:dyDescent="0.3">
      <c r="A272" s="12">
        <v>43968</v>
      </c>
      <c r="B272" s="7" t="s">
        <v>21</v>
      </c>
      <c r="C272" s="7">
        <v>60</v>
      </c>
      <c r="D272" s="7">
        <v>11698</v>
      </c>
      <c r="E272" s="7">
        <v>10989</v>
      </c>
    </row>
    <row r="273" spans="1:5" ht="14.25" customHeight="1" x14ac:dyDescent="0.3">
      <c r="A273" s="12">
        <v>43968</v>
      </c>
      <c r="B273" s="7" t="s">
        <v>13</v>
      </c>
      <c r="C273" s="7">
        <v>19</v>
      </c>
      <c r="D273" s="7">
        <v>1871</v>
      </c>
      <c r="E273" s="7">
        <v>1660</v>
      </c>
    </row>
    <row r="274" spans="1:5" ht="14.25" customHeight="1" x14ac:dyDescent="0.3">
      <c r="A274" s="12">
        <v>43968</v>
      </c>
      <c r="B274" s="7" t="s">
        <v>23</v>
      </c>
      <c r="C274" s="7">
        <v>16</v>
      </c>
      <c r="D274" s="7">
        <v>859</v>
      </c>
      <c r="E274" s="7">
        <v>746</v>
      </c>
    </row>
    <row r="275" spans="1:5" ht="14.25" customHeight="1" x14ac:dyDescent="0.3">
      <c r="A275" s="12">
        <v>43968</v>
      </c>
      <c r="B275" s="7" t="s">
        <v>18</v>
      </c>
      <c r="C275" s="7">
        <v>15</v>
      </c>
      <c r="D275" s="7">
        <v>971</v>
      </c>
      <c r="E275" s="7">
        <v>856</v>
      </c>
    </row>
    <row r="276" spans="1:5" ht="14.25" customHeight="1" x14ac:dyDescent="0.3">
      <c r="A276" s="12">
        <v>43968</v>
      </c>
      <c r="B276" s="7" t="s">
        <v>19</v>
      </c>
      <c r="C276" s="7">
        <v>15</v>
      </c>
      <c r="D276" s="7">
        <v>692</v>
      </c>
      <c r="E276" s="7">
        <v>591</v>
      </c>
    </row>
    <row r="277" spans="1:5" ht="14.25" customHeight="1" x14ac:dyDescent="0.3">
      <c r="A277" s="12">
        <v>43968</v>
      </c>
      <c r="B277" s="7" t="s">
        <v>15</v>
      </c>
      <c r="C277" s="7">
        <v>125</v>
      </c>
      <c r="D277" s="7">
        <v>20079</v>
      </c>
      <c r="E277" s="7">
        <v>18721</v>
      </c>
    </row>
    <row r="278" spans="1:5" ht="14.25" customHeight="1" x14ac:dyDescent="0.3">
      <c r="A278" s="12">
        <v>43968</v>
      </c>
      <c r="B278" s="7" t="s">
        <v>14</v>
      </c>
      <c r="C278" s="7">
        <v>129</v>
      </c>
      <c r="D278" s="7">
        <v>15744</v>
      </c>
      <c r="E278" s="7">
        <v>14685</v>
      </c>
    </row>
    <row r="279" spans="1:5" ht="14.25" customHeight="1" x14ac:dyDescent="0.3">
      <c r="A279" s="12">
        <v>43968</v>
      </c>
      <c r="B279" s="7" t="s">
        <v>12</v>
      </c>
      <c r="C279" s="7">
        <v>10</v>
      </c>
      <c r="D279" s="7">
        <v>591</v>
      </c>
      <c r="E279" s="7">
        <v>513</v>
      </c>
    </row>
    <row r="280" spans="1:5" ht="14.25" customHeight="1" x14ac:dyDescent="0.3">
      <c r="A280" s="12">
        <v>43969</v>
      </c>
      <c r="B280" s="7" t="s">
        <v>16</v>
      </c>
      <c r="C280" s="7">
        <v>36</v>
      </c>
      <c r="D280" s="7">
        <v>4885</v>
      </c>
      <c r="E280" s="7">
        <v>4502</v>
      </c>
    </row>
    <row r="281" spans="1:5" ht="14.25" customHeight="1" x14ac:dyDescent="0.3">
      <c r="A281" s="12">
        <v>43969</v>
      </c>
      <c r="B281" s="7" t="s">
        <v>11</v>
      </c>
      <c r="C281" s="7">
        <v>31</v>
      </c>
      <c r="D281" s="7">
        <v>5165</v>
      </c>
      <c r="E281" s="7">
        <v>4813</v>
      </c>
    </row>
    <row r="282" spans="1:5" ht="14.25" customHeight="1" x14ac:dyDescent="0.3">
      <c r="A282" s="12">
        <v>43969</v>
      </c>
      <c r="B282" s="7" t="s">
        <v>17</v>
      </c>
      <c r="C282" s="7">
        <v>21</v>
      </c>
      <c r="D282" s="7">
        <v>2136</v>
      </c>
      <c r="E282" s="7">
        <v>1947</v>
      </c>
    </row>
    <row r="283" spans="1:5" ht="14.25" customHeight="1" x14ac:dyDescent="0.3">
      <c r="A283" s="12">
        <v>43969</v>
      </c>
      <c r="B283" s="7" t="s">
        <v>10</v>
      </c>
      <c r="C283" s="7">
        <v>21</v>
      </c>
      <c r="D283" s="7">
        <v>1834</v>
      </c>
      <c r="E283" s="7">
        <v>1660</v>
      </c>
    </row>
    <row r="284" spans="1:5" ht="14.25" customHeight="1" x14ac:dyDescent="0.3">
      <c r="A284" s="12">
        <v>43969</v>
      </c>
      <c r="B284" s="7" t="s">
        <v>20</v>
      </c>
      <c r="C284" s="7">
        <v>19</v>
      </c>
      <c r="D284" s="7">
        <v>1741</v>
      </c>
      <c r="E284" s="7">
        <v>1597</v>
      </c>
    </row>
    <row r="285" spans="1:5" ht="14.25" customHeight="1" x14ac:dyDescent="0.3">
      <c r="A285" s="12">
        <v>43969</v>
      </c>
      <c r="B285" s="7" t="s">
        <v>22</v>
      </c>
      <c r="C285" s="7">
        <v>54</v>
      </c>
      <c r="D285" s="7">
        <v>12012</v>
      </c>
      <c r="E285" s="7">
        <v>11308</v>
      </c>
    </row>
    <row r="286" spans="1:5" ht="14.25" customHeight="1" x14ac:dyDescent="0.3">
      <c r="A286" s="12">
        <v>43969</v>
      </c>
      <c r="B286" s="7" t="s">
        <v>21</v>
      </c>
      <c r="C286" s="7">
        <v>60</v>
      </c>
      <c r="D286" s="7">
        <v>12460</v>
      </c>
      <c r="E286" s="7">
        <v>11665</v>
      </c>
    </row>
    <row r="287" spans="1:5" ht="14.25" customHeight="1" x14ac:dyDescent="0.3">
      <c r="A287" s="12">
        <v>43969</v>
      </c>
      <c r="B287" s="7" t="s">
        <v>13</v>
      </c>
      <c r="C287" s="7">
        <v>19</v>
      </c>
      <c r="D287" s="7">
        <v>1858</v>
      </c>
      <c r="E287" s="7">
        <v>1648</v>
      </c>
    </row>
    <row r="288" spans="1:5" ht="14.25" customHeight="1" x14ac:dyDescent="0.3">
      <c r="A288" s="12">
        <v>43969</v>
      </c>
      <c r="B288" s="7" t="s">
        <v>23</v>
      </c>
      <c r="C288" s="7">
        <v>16</v>
      </c>
      <c r="D288" s="7">
        <v>864</v>
      </c>
      <c r="E288" s="7">
        <v>765</v>
      </c>
    </row>
    <row r="289" spans="1:5" ht="14.25" customHeight="1" x14ac:dyDescent="0.3">
      <c r="A289" s="12">
        <v>43969</v>
      </c>
      <c r="B289" s="7" t="s">
        <v>18</v>
      </c>
      <c r="C289" s="7">
        <v>16</v>
      </c>
      <c r="D289" s="7">
        <v>925</v>
      </c>
      <c r="E289" s="7">
        <v>816</v>
      </c>
    </row>
    <row r="290" spans="1:5" ht="14.25" customHeight="1" x14ac:dyDescent="0.3">
      <c r="A290" s="12">
        <v>43969</v>
      </c>
      <c r="B290" s="7" t="s">
        <v>19</v>
      </c>
      <c r="C290" s="7">
        <v>15</v>
      </c>
      <c r="D290" s="7">
        <v>729</v>
      </c>
      <c r="E290" s="7">
        <v>636</v>
      </c>
    </row>
    <row r="291" spans="1:5" ht="14.25" customHeight="1" x14ac:dyDescent="0.3">
      <c r="A291" s="12">
        <v>43969</v>
      </c>
      <c r="B291" s="7" t="s">
        <v>15</v>
      </c>
      <c r="C291" s="7">
        <v>125</v>
      </c>
      <c r="D291" s="7">
        <v>20449</v>
      </c>
      <c r="E291" s="7">
        <v>19060</v>
      </c>
    </row>
    <row r="292" spans="1:5" ht="14.25" customHeight="1" x14ac:dyDescent="0.3">
      <c r="A292" s="12">
        <v>43969</v>
      </c>
      <c r="B292" s="7" t="s">
        <v>14</v>
      </c>
      <c r="C292" s="7">
        <v>129</v>
      </c>
      <c r="D292" s="7">
        <v>16110</v>
      </c>
      <c r="E292" s="7">
        <v>14992</v>
      </c>
    </row>
    <row r="293" spans="1:5" ht="14.25" customHeight="1" x14ac:dyDescent="0.3">
      <c r="A293" s="12">
        <v>43969</v>
      </c>
      <c r="B293" s="7" t="s">
        <v>12</v>
      </c>
      <c r="C293" s="7">
        <v>10</v>
      </c>
      <c r="D293" s="7">
        <v>645</v>
      </c>
      <c r="E293" s="7">
        <v>565</v>
      </c>
    </row>
    <row r="294" spans="1:5" ht="14.25" customHeight="1" x14ac:dyDescent="0.3">
      <c r="A294" s="12">
        <v>43970</v>
      </c>
      <c r="B294" s="7" t="s">
        <v>16</v>
      </c>
      <c r="C294" s="7">
        <v>36</v>
      </c>
      <c r="D294" s="7">
        <v>5094</v>
      </c>
      <c r="E294" s="7">
        <v>4716</v>
      </c>
    </row>
    <row r="295" spans="1:5" ht="14.25" customHeight="1" x14ac:dyDescent="0.3">
      <c r="A295" s="12">
        <v>43970</v>
      </c>
      <c r="B295" s="7" t="s">
        <v>11</v>
      </c>
      <c r="C295" s="7">
        <v>31</v>
      </c>
      <c r="D295" s="7">
        <v>5389</v>
      </c>
      <c r="E295" s="7">
        <v>5024</v>
      </c>
    </row>
    <row r="296" spans="1:5" ht="14.25" customHeight="1" x14ac:dyDescent="0.3">
      <c r="A296" s="12">
        <v>43970</v>
      </c>
      <c r="B296" s="7" t="s">
        <v>17</v>
      </c>
      <c r="C296" s="7">
        <v>21</v>
      </c>
      <c r="D296" s="7">
        <v>2245</v>
      </c>
      <c r="E296" s="7">
        <v>2053</v>
      </c>
    </row>
    <row r="297" spans="1:5" ht="14.25" customHeight="1" x14ac:dyDescent="0.3">
      <c r="A297" s="12">
        <v>43970</v>
      </c>
      <c r="B297" s="7" t="s">
        <v>10</v>
      </c>
      <c r="C297" s="7">
        <v>21</v>
      </c>
      <c r="D297" s="7">
        <v>1860</v>
      </c>
      <c r="E297" s="7">
        <v>1704</v>
      </c>
    </row>
    <row r="298" spans="1:5" ht="14.25" customHeight="1" x14ac:dyDescent="0.3">
      <c r="A298" s="12">
        <v>43970</v>
      </c>
      <c r="B298" s="7" t="s">
        <v>20</v>
      </c>
      <c r="C298" s="7">
        <v>19</v>
      </c>
      <c r="D298" s="7">
        <v>1831</v>
      </c>
      <c r="E298" s="7">
        <v>1667</v>
      </c>
    </row>
    <row r="299" spans="1:5" ht="14.25" customHeight="1" x14ac:dyDescent="0.3">
      <c r="A299" s="12">
        <v>43970</v>
      </c>
      <c r="B299" s="7" t="s">
        <v>22</v>
      </c>
      <c r="C299" s="7">
        <v>54</v>
      </c>
      <c r="D299" s="7">
        <v>13070</v>
      </c>
      <c r="E299" s="7">
        <v>12244</v>
      </c>
    </row>
    <row r="300" spans="1:5" ht="14.25" customHeight="1" x14ac:dyDescent="0.3">
      <c r="A300" s="12">
        <v>43970</v>
      </c>
      <c r="B300" s="7" t="s">
        <v>21</v>
      </c>
      <c r="C300" s="7">
        <v>60</v>
      </c>
      <c r="D300" s="7">
        <v>13867</v>
      </c>
      <c r="E300" s="7">
        <v>12987</v>
      </c>
    </row>
    <row r="301" spans="1:5" ht="14.25" customHeight="1" x14ac:dyDescent="0.3">
      <c r="A301" s="12">
        <v>43970</v>
      </c>
      <c r="B301" s="7" t="s">
        <v>13</v>
      </c>
      <c r="C301" s="7">
        <v>19</v>
      </c>
      <c r="D301" s="7">
        <v>1999</v>
      </c>
      <c r="E301" s="7">
        <v>1799</v>
      </c>
    </row>
    <row r="302" spans="1:5" ht="14.25" customHeight="1" x14ac:dyDescent="0.3">
      <c r="A302" s="12">
        <v>43970</v>
      </c>
      <c r="B302" s="7" t="s">
        <v>23</v>
      </c>
      <c r="C302" s="7">
        <v>17</v>
      </c>
      <c r="D302" s="7">
        <v>857</v>
      </c>
      <c r="E302" s="7">
        <v>757</v>
      </c>
    </row>
    <row r="303" spans="1:5" ht="14.25" customHeight="1" x14ac:dyDescent="0.3">
      <c r="A303" s="12">
        <v>43970</v>
      </c>
      <c r="B303" s="7" t="s">
        <v>18</v>
      </c>
      <c r="C303" s="7">
        <v>16</v>
      </c>
      <c r="D303" s="7">
        <v>1012</v>
      </c>
      <c r="E303" s="7">
        <v>900</v>
      </c>
    </row>
    <row r="304" spans="1:5" ht="14.25" customHeight="1" x14ac:dyDescent="0.3">
      <c r="A304" s="12">
        <v>43970</v>
      </c>
      <c r="B304" s="7" t="s">
        <v>19</v>
      </c>
      <c r="C304" s="7">
        <v>15</v>
      </c>
      <c r="D304" s="7">
        <v>930</v>
      </c>
      <c r="E304" s="7">
        <v>827</v>
      </c>
    </row>
    <row r="305" spans="1:5" ht="14.25" customHeight="1" x14ac:dyDescent="0.3">
      <c r="A305" s="12">
        <v>43970</v>
      </c>
      <c r="B305" s="7" t="s">
        <v>15</v>
      </c>
      <c r="C305" s="7">
        <v>125</v>
      </c>
      <c r="D305" s="7">
        <v>20771</v>
      </c>
      <c r="E305" s="7">
        <v>19338</v>
      </c>
    </row>
    <row r="306" spans="1:5" ht="14.25" customHeight="1" x14ac:dyDescent="0.3">
      <c r="A306" s="12">
        <v>43970</v>
      </c>
      <c r="B306" s="7" t="s">
        <v>14</v>
      </c>
      <c r="C306" s="7">
        <v>129</v>
      </c>
      <c r="D306" s="7">
        <v>16191</v>
      </c>
      <c r="E306" s="7">
        <v>15102</v>
      </c>
    </row>
    <row r="307" spans="1:5" ht="14.25" customHeight="1" x14ac:dyDescent="0.3">
      <c r="A307" s="12">
        <v>43970</v>
      </c>
      <c r="B307" s="7" t="s">
        <v>12</v>
      </c>
      <c r="C307" s="7">
        <v>10</v>
      </c>
      <c r="D307" s="7">
        <v>649</v>
      </c>
      <c r="E307" s="7">
        <v>568</v>
      </c>
    </row>
    <row r="308" spans="1:5" ht="14.25" customHeight="1" x14ac:dyDescent="0.3">
      <c r="A308" s="12">
        <v>43971</v>
      </c>
      <c r="B308" s="7" t="s">
        <v>16</v>
      </c>
      <c r="C308" s="7">
        <v>36</v>
      </c>
      <c r="D308" s="7">
        <v>5914</v>
      </c>
      <c r="E308" s="7">
        <v>5384</v>
      </c>
    </row>
    <row r="309" spans="1:5" ht="14.25" customHeight="1" x14ac:dyDescent="0.3">
      <c r="A309" s="12">
        <v>43971</v>
      </c>
      <c r="B309" s="7" t="s">
        <v>11</v>
      </c>
      <c r="C309" s="7">
        <v>31</v>
      </c>
      <c r="D309" s="7">
        <v>5698</v>
      </c>
      <c r="E309" s="7">
        <v>5258</v>
      </c>
    </row>
    <row r="310" spans="1:5" ht="14.25" customHeight="1" x14ac:dyDescent="0.3">
      <c r="A310" s="12">
        <v>43971</v>
      </c>
      <c r="B310" s="7" t="s">
        <v>17</v>
      </c>
      <c r="C310" s="7">
        <v>21</v>
      </c>
      <c r="D310" s="7">
        <v>2410</v>
      </c>
      <c r="E310" s="7">
        <v>2202</v>
      </c>
    </row>
    <row r="311" spans="1:5" ht="14.25" customHeight="1" x14ac:dyDescent="0.3">
      <c r="A311" s="12">
        <v>43971</v>
      </c>
      <c r="B311" s="7" t="s">
        <v>10</v>
      </c>
      <c r="C311" s="7">
        <v>21</v>
      </c>
      <c r="D311" s="7">
        <v>1921</v>
      </c>
      <c r="E311" s="7">
        <v>1767</v>
      </c>
    </row>
    <row r="312" spans="1:5" ht="14.25" customHeight="1" x14ac:dyDescent="0.3">
      <c r="A312" s="12">
        <v>43971</v>
      </c>
      <c r="B312" s="7" t="s">
        <v>20</v>
      </c>
      <c r="C312" s="7">
        <v>19</v>
      </c>
      <c r="D312" s="7">
        <v>1823</v>
      </c>
      <c r="E312" s="7">
        <v>1678</v>
      </c>
    </row>
    <row r="313" spans="1:5" ht="14.25" customHeight="1" x14ac:dyDescent="0.3">
      <c r="A313" s="12">
        <v>43971</v>
      </c>
      <c r="B313" s="7" t="s">
        <v>22</v>
      </c>
      <c r="C313" s="7">
        <v>54</v>
      </c>
      <c r="D313" s="7">
        <v>13298</v>
      </c>
      <c r="E313" s="7">
        <v>12428</v>
      </c>
    </row>
    <row r="314" spans="1:5" ht="14.25" customHeight="1" x14ac:dyDescent="0.3">
      <c r="A314" s="12">
        <v>43971</v>
      </c>
      <c r="B314" s="7" t="s">
        <v>21</v>
      </c>
      <c r="C314" s="7">
        <v>60</v>
      </c>
      <c r="D314" s="7">
        <v>13792</v>
      </c>
      <c r="E314" s="7">
        <v>12834</v>
      </c>
    </row>
    <row r="315" spans="1:5" ht="14.25" customHeight="1" x14ac:dyDescent="0.3">
      <c r="A315" s="12">
        <v>43971</v>
      </c>
      <c r="B315" s="7" t="s">
        <v>13</v>
      </c>
      <c r="C315" s="7">
        <v>19</v>
      </c>
      <c r="D315" s="7">
        <v>1889</v>
      </c>
      <c r="E315" s="7">
        <v>1690</v>
      </c>
    </row>
    <row r="316" spans="1:5" ht="14.25" customHeight="1" x14ac:dyDescent="0.3">
      <c r="A316" s="12">
        <v>43971</v>
      </c>
      <c r="B316" s="7" t="s">
        <v>23</v>
      </c>
      <c r="C316" s="7">
        <v>17</v>
      </c>
      <c r="D316" s="7">
        <v>890</v>
      </c>
      <c r="E316" s="7">
        <v>794</v>
      </c>
    </row>
    <row r="317" spans="1:5" ht="14.25" customHeight="1" x14ac:dyDescent="0.3">
      <c r="A317" s="12">
        <v>43971</v>
      </c>
      <c r="B317" s="7" t="s">
        <v>18</v>
      </c>
      <c r="C317" s="7">
        <v>16</v>
      </c>
      <c r="D317" s="7">
        <v>1050</v>
      </c>
      <c r="E317" s="7">
        <v>938</v>
      </c>
    </row>
    <row r="318" spans="1:5" ht="14.25" customHeight="1" x14ac:dyDescent="0.3">
      <c r="A318" s="12">
        <v>43971</v>
      </c>
      <c r="B318" s="7" t="s">
        <v>19</v>
      </c>
      <c r="C318" s="7">
        <v>15</v>
      </c>
      <c r="D318" s="7">
        <v>760</v>
      </c>
      <c r="E318" s="7">
        <v>664</v>
      </c>
    </row>
    <row r="319" spans="1:5" ht="14.25" customHeight="1" x14ac:dyDescent="0.3">
      <c r="A319" s="12">
        <v>43971</v>
      </c>
      <c r="B319" s="7" t="s">
        <v>15</v>
      </c>
      <c r="C319" s="7">
        <v>125</v>
      </c>
      <c r="D319" s="7">
        <v>21674</v>
      </c>
      <c r="E319" s="7">
        <v>20155</v>
      </c>
    </row>
    <row r="320" spans="1:5" ht="14.25" customHeight="1" x14ac:dyDescent="0.3">
      <c r="A320" s="12">
        <v>43971</v>
      </c>
      <c r="B320" s="7" t="s">
        <v>14</v>
      </c>
      <c r="C320" s="7">
        <v>129</v>
      </c>
      <c r="D320" s="7">
        <v>17095</v>
      </c>
      <c r="E320" s="7">
        <v>15919</v>
      </c>
    </row>
    <row r="321" spans="1:5" ht="14.25" customHeight="1" x14ac:dyDescent="0.3">
      <c r="A321" s="12">
        <v>43971</v>
      </c>
      <c r="B321" s="7" t="s">
        <v>12</v>
      </c>
      <c r="C321" s="7">
        <v>10</v>
      </c>
      <c r="D321" s="7">
        <v>745</v>
      </c>
      <c r="E321" s="7">
        <v>654</v>
      </c>
    </row>
    <row r="322" spans="1:5" ht="14.25" customHeight="1" x14ac:dyDescent="0.3">
      <c r="A322" s="12">
        <v>43972</v>
      </c>
      <c r="B322" s="7" t="s">
        <v>16</v>
      </c>
      <c r="C322" s="7">
        <v>36</v>
      </c>
      <c r="D322" s="7">
        <v>4816</v>
      </c>
      <c r="E322" s="7">
        <v>4452</v>
      </c>
    </row>
    <row r="323" spans="1:5" ht="14.25" customHeight="1" x14ac:dyDescent="0.3">
      <c r="A323" s="12">
        <v>43972</v>
      </c>
      <c r="B323" s="7" t="s">
        <v>11</v>
      </c>
      <c r="C323" s="7">
        <v>31</v>
      </c>
      <c r="D323" s="7">
        <v>5207</v>
      </c>
      <c r="E323" s="7">
        <v>4868</v>
      </c>
    </row>
    <row r="324" spans="1:5" ht="14.25" customHeight="1" x14ac:dyDescent="0.3">
      <c r="A324" s="12">
        <v>43972</v>
      </c>
      <c r="B324" s="7" t="s">
        <v>17</v>
      </c>
      <c r="C324" s="7">
        <v>21</v>
      </c>
      <c r="D324" s="7">
        <v>2335</v>
      </c>
      <c r="E324" s="7">
        <v>2126</v>
      </c>
    </row>
    <row r="325" spans="1:5" ht="14.25" customHeight="1" x14ac:dyDescent="0.3">
      <c r="A325" s="12">
        <v>43972</v>
      </c>
      <c r="B325" s="7" t="s">
        <v>10</v>
      </c>
      <c r="C325" s="7">
        <v>21</v>
      </c>
      <c r="D325" s="7">
        <v>1787</v>
      </c>
      <c r="E325" s="7">
        <v>1626</v>
      </c>
    </row>
    <row r="326" spans="1:5" ht="14.25" customHeight="1" x14ac:dyDescent="0.3">
      <c r="A326" s="12">
        <v>43972</v>
      </c>
      <c r="B326" s="7" t="s">
        <v>20</v>
      </c>
      <c r="C326" s="7">
        <v>19</v>
      </c>
      <c r="D326" s="7">
        <v>1650</v>
      </c>
      <c r="E326" s="7">
        <v>1505</v>
      </c>
    </row>
    <row r="327" spans="1:5" ht="14.25" customHeight="1" x14ac:dyDescent="0.3">
      <c r="A327" s="12">
        <v>43972</v>
      </c>
      <c r="B327" s="7" t="s">
        <v>22</v>
      </c>
      <c r="C327" s="7">
        <v>54</v>
      </c>
      <c r="D327" s="7">
        <v>13240</v>
      </c>
      <c r="E327" s="7">
        <v>12360</v>
      </c>
    </row>
    <row r="328" spans="1:5" ht="14.25" customHeight="1" x14ac:dyDescent="0.3">
      <c r="A328" s="12">
        <v>43972</v>
      </c>
      <c r="B328" s="7" t="s">
        <v>21</v>
      </c>
      <c r="C328" s="7">
        <v>60</v>
      </c>
      <c r="D328" s="7">
        <v>14005</v>
      </c>
      <c r="E328" s="7">
        <v>13002</v>
      </c>
    </row>
    <row r="329" spans="1:5" ht="14.25" customHeight="1" x14ac:dyDescent="0.3">
      <c r="A329" s="12">
        <v>43972</v>
      </c>
      <c r="B329" s="7" t="s">
        <v>13</v>
      </c>
      <c r="C329" s="7">
        <v>19</v>
      </c>
      <c r="D329" s="7">
        <v>1949</v>
      </c>
      <c r="E329" s="7">
        <v>1724</v>
      </c>
    </row>
    <row r="330" spans="1:5" ht="14.25" customHeight="1" x14ac:dyDescent="0.3">
      <c r="A330" s="12">
        <v>43972</v>
      </c>
      <c r="B330" s="7" t="s">
        <v>23</v>
      </c>
      <c r="C330" s="7">
        <v>18</v>
      </c>
      <c r="D330" s="7">
        <v>888</v>
      </c>
      <c r="E330" s="7">
        <v>786</v>
      </c>
    </row>
    <row r="331" spans="1:5" ht="14.25" customHeight="1" x14ac:dyDescent="0.3">
      <c r="A331" s="12">
        <v>43972</v>
      </c>
      <c r="B331" s="7" t="s">
        <v>18</v>
      </c>
      <c r="C331" s="7">
        <v>17</v>
      </c>
      <c r="D331" s="7">
        <v>1045</v>
      </c>
      <c r="E331" s="7">
        <v>930</v>
      </c>
    </row>
    <row r="332" spans="1:5" ht="14.25" customHeight="1" x14ac:dyDescent="0.3">
      <c r="A332" s="12">
        <v>43972</v>
      </c>
      <c r="B332" s="7" t="s">
        <v>19</v>
      </c>
      <c r="C332" s="7">
        <v>15</v>
      </c>
      <c r="D332" s="7">
        <v>749</v>
      </c>
      <c r="E332" s="7">
        <v>652</v>
      </c>
    </row>
    <row r="333" spans="1:5" ht="14.25" customHeight="1" x14ac:dyDescent="0.3">
      <c r="A333" s="12">
        <v>43972</v>
      </c>
      <c r="B333" s="7" t="s">
        <v>15</v>
      </c>
      <c r="C333" s="7">
        <v>125</v>
      </c>
      <c r="D333" s="7">
        <v>20911</v>
      </c>
      <c r="E333" s="7">
        <v>19358</v>
      </c>
    </row>
    <row r="334" spans="1:5" ht="14.25" customHeight="1" x14ac:dyDescent="0.3">
      <c r="A334" s="12">
        <v>43972</v>
      </c>
      <c r="B334" s="7" t="s">
        <v>14</v>
      </c>
      <c r="C334" s="7">
        <v>129</v>
      </c>
      <c r="D334" s="7">
        <v>16373</v>
      </c>
      <c r="E334" s="7">
        <v>15223</v>
      </c>
    </row>
    <row r="335" spans="1:5" ht="14.25" customHeight="1" x14ac:dyDescent="0.3">
      <c r="A335" s="12">
        <v>43972</v>
      </c>
      <c r="B335" s="7" t="s">
        <v>12</v>
      </c>
      <c r="C335" s="7">
        <v>10</v>
      </c>
      <c r="D335" s="7">
        <v>677</v>
      </c>
      <c r="E335" s="7">
        <v>591</v>
      </c>
    </row>
    <row r="336" spans="1:5" ht="14.25" customHeight="1" x14ac:dyDescent="0.3">
      <c r="A336" s="12">
        <v>43973</v>
      </c>
      <c r="B336" s="7" t="s">
        <v>16</v>
      </c>
      <c r="C336" s="7">
        <v>36</v>
      </c>
      <c r="D336" s="7">
        <v>4857</v>
      </c>
      <c r="E336" s="7">
        <v>4456</v>
      </c>
    </row>
    <row r="337" spans="1:5" ht="14.25" customHeight="1" x14ac:dyDescent="0.3">
      <c r="A337" s="12">
        <v>43973</v>
      </c>
      <c r="B337" s="7" t="s">
        <v>11</v>
      </c>
      <c r="C337" s="7">
        <v>31</v>
      </c>
      <c r="D337" s="7">
        <v>5965</v>
      </c>
      <c r="E337" s="7">
        <v>5533</v>
      </c>
    </row>
    <row r="338" spans="1:5" ht="14.25" customHeight="1" x14ac:dyDescent="0.3">
      <c r="A338" s="12">
        <v>43973</v>
      </c>
      <c r="B338" s="7" t="s">
        <v>17</v>
      </c>
      <c r="C338" s="7">
        <v>21</v>
      </c>
      <c r="D338" s="7">
        <v>2861</v>
      </c>
      <c r="E338" s="7">
        <v>2612</v>
      </c>
    </row>
    <row r="339" spans="1:5" ht="14.25" customHeight="1" x14ac:dyDescent="0.3">
      <c r="A339" s="12">
        <v>43973</v>
      </c>
      <c r="B339" s="7" t="s">
        <v>10</v>
      </c>
      <c r="C339" s="7">
        <v>21</v>
      </c>
      <c r="D339" s="7">
        <v>2046</v>
      </c>
      <c r="E339" s="7">
        <v>1853</v>
      </c>
    </row>
    <row r="340" spans="1:5" ht="14.25" customHeight="1" x14ac:dyDescent="0.3">
      <c r="A340" s="12">
        <v>43973</v>
      </c>
      <c r="B340" s="7" t="s">
        <v>20</v>
      </c>
      <c r="C340" s="7">
        <v>19</v>
      </c>
      <c r="D340" s="7">
        <v>1859</v>
      </c>
      <c r="E340" s="7">
        <v>1697</v>
      </c>
    </row>
    <row r="341" spans="1:5" ht="14.25" customHeight="1" x14ac:dyDescent="0.3">
      <c r="A341" s="12">
        <v>43973</v>
      </c>
      <c r="B341" s="7" t="s">
        <v>22</v>
      </c>
      <c r="C341" s="7">
        <v>54</v>
      </c>
      <c r="D341" s="7">
        <v>13014</v>
      </c>
      <c r="E341" s="7">
        <v>12095</v>
      </c>
    </row>
    <row r="342" spans="1:5" ht="14.25" customHeight="1" x14ac:dyDescent="0.3">
      <c r="A342" s="12">
        <v>43973</v>
      </c>
      <c r="B342" s="7" t="s">
        <v>21</v>
      </c>
      <c r="C342" s="7">
        <v>60</v>
      </c>
      <c r="D342" s="7">
        <v>14050</v>
      </c>
      <c r="E342" s="7">
        <v>13027</v>
      </c>
    </row>
    <row r="343" spans="1:5" ht="14.25" customHeight="1" x14ac:dyDescent="0.3">
      <c r="A343" s="12">
        <v>43973</v>
      </c>
      <c r="B343" s="7" t="s">
        <v>13</v>
      </c>
      <c r="C343" s="7">
        <v>20</v>
      </c>
      <c r="D343" s="7">
        <v>2306</v>
      </c>
      <c r="E343" s="7">
        <v>2054</v>
      </c>
    </row>
    <row r="344" spans="1:5" ht="14.25" customHeight="1" x14ac:dyDescent="0.3">
      <c r="A344" s="12">
        <v>43973</v>
      </c>
      <c r="B344" s="7" t="s">
        <v>23</v>
      </c>
      <c r="C344" s="7">
        <v>18</v>
      </c>
      <c r="D344" s="7">
        <v>985</v>
      </c>
      <c r="E344" s="7">
        <v>861</v>
      </c>
    </row>
    <row r="345" spans="1:5" ht="14.25" customHeight="1" x14ac:dyDescent="0.3">
      <c r="A345" s="12">
        <v>43973</v>
      </c>
      <c r="B345" s="7" t="s">
        <v>18</v>
      </c>
      <c r="C345" s="7">
        <v>17</v>
      </c>
      <c r="D345" s="7">
        <v>1268</v>
      </c>
      <c r="E345" s="7">
        <v>1129</v>
      </c>
    </row>
    <row r="346" spans="1:5" ht="14.25" customHeight="1" x14ac:dyDescent="0.3">
      <c r="A346" s="12">
        <v>43973</v>
      </c>
      <c r="B346" s="7" t="s">
        <v>19</v>
      </c>
      <c r="C346" s="7">
        <v>15</v>
      </c>
      <c r="D346" s="7">
        <v>903</v>
      </c>
      <c r="E346" s="7">
        <v>792</v>
      </c>
    </row>
    <row r="347" spans="1:5" ht="14.25" customHeight="1" x14ac:dyDescent="0.3">
      <c r="A347" s="12">
        <v>43973</v>
      </c>
      <c r="B347" s="7" t="s">
        <v>15</v>
      </c>
      <c r="C347" s="7">
        <v>125</v>
      </c>
      <c r="D347" s="7">
        <v>21427</v>
      </c>
      <c r="E347" s="7">
        <v>19799</v>
      </c>
    </row>
    <row r="348" spans="1:5" ht="14.25" customHeight="1" x14ac:dyDescent="0.3">
      <c r="A348" s="12">
        <v>43973</v>
      </c>
      <c r="B348" s="7" t="s">
        <v>14</v>
      </c>
      <c r="C348" s="7">
        <v>129</v>
      </c>
      <c r="D348" s="7">
        <v>17088</v>
      </c>
      <c r="E348" s="7">
        <v>15804</v>
      </c>
    </row>
    <row r="349" spans="1:5" ht="14.25" customHeight="1" x14ac:dyDescent="0.3">
      <c r="A349" s="12">
        <v>43973</v>
      </c>
      <c r="B349" s="7" t="s">
        <v>12</v>
      </c>
      <c r="C349" s="7">
        <v>10</v>
      </c>
      <c r="D349" s="7">
        <v>965</v>
      </c>
      <c r="E349" s="7">
        <v>861</v>
      </c>
    </row>
    <row r="350" spans="1:5" ht="14.25" customHeight="1" x14ac:dyDescent="0.3">
      <c r="A350" s="12">
        <v>43974</v>
      </c>
      <c r="B350" s="7" t="s">
        <v>16</v>
      </c>
      <c r="C350" s="7">
        <v>36</v>
      </c>
      <c r="D350" s="7">
        <v>5651</v>
      </c>
      <c r="E350" s="7">
        <v>5212</v>
      </c>
    </row>
    <row r="351" spans="1:5" ht="14.25" customHeight="1" x14ac:dyDescent="0.3">
      <c r="A351" s="12">
        <v>43974</v>
      </c>
      <c r="B351" s="7" t="s">
        <v>11</v>
      </c>
      <c r="C351" s="7">
        <v>31</v>
      </c>
      <c r="D351" s="7">
        <v>6276</v>
      </c>
      <c r="E351" s="7">
        <v>5801</v>
      </c>
    </row>
    <row r="352" spans="1:5" ht="14.25" customHeight="1" x14ac:dyDescent="0.3">
      <c r="A352" s="12">
        <v>43974</v>
      </c>
      <c r="B352" s="7" t="s">
        <v>17</v>
      </c>
      <c r="C352" s="7">
        <v>21</v>
      </c>
      <c r="D352" s="7">
        <v>2460</v>
      </c>
      <c r="E352" s="7">
        <v>2226</v>
      </c>
    </row>
    <row r="353" spans="1:5" ht="14.25" customHeight="1" x14ac:dyDescent="0.3">
      <c r="A353" s="12">
        <v>43974</v>
      </c>
      <c r="B353" s="7" t="s">
        <v>10</v>
      </c>
      <c r="C353" s="7">
        <v>21</v>
      </c>
      <c r="D353" s="7">
        <v>2340</v>
      </c>
      <c r="E353" s="7">
        <v>2146</v>
      </c>
    </row>
    <row r="354" spans="1:5" ht="14.25" customHeight="1" x14ac:dyDescent="0.3">
      <c r="A354" s="12">
        <v>43974</v>
      </c>
      <c r="B354" s="7" t="s">
        <v>20</v>
      </c>
      <c r="C354" s="7">
        <v>19</v>
      </c>
      <c r="D354" s="7">
        <v>2195</v>
      </c>
      <c r="E354" s="7">
        <v>1999</v>
      </c>
    </row>
    <row r="355" spans="1:5" ht="14.25" customHeight="1" x14ac:dyDescent="0.3">
      <c r="A355" s="12">
        <v>43974</v>
      </c>
      <c r="B355" s="7" t="s">
        <v>22</v>
      </c>
      <c r="C355" s="7">
        <v>54</v>
      </c>
      <c r="D355" s="7">
        <v>16221</v>
      </c>
      <c r="E355" s="7">
        <v>15065</v>
      </c>
    </row>
    <row r="356" spans="1:5" ht="14.25" customHeight="1" x14ac:dyDescent="0.3">
      <c r="A356" s="12">
        <v>43974</v>
      </c>
      <c r="B356" s="7" t="s">
        <v>21</v>
      </c>
      <c r="C356" s="7">
        <v>60</v>
      </c>
      <c r="D356" s="7">
        <v>17295</v>
      </c>
      <c r="E356" s="7">
        <v>16010</v>
      </c>
    </row>
    <row r="357" spans="1:5" ht="14.25" customHeight="1" x14ac:dyDescent="0.3">
      <c r="A357" s="12">
        <v>43974</v>
      </c>
      <c r="B357" s="7" t="s">
        <v>13</v>
      </c>
      <c r="C357" s="7">
        <v>20</v>
      </c>
      <c r="D357" s="7">
        <v>2266</v>
      </c>
      <c r="E357" s="7">
        <v>1993</v>
      </c>
    </row>
    <row r="358" spans="1:5" ht="14.25" customHeight="1" x14ac:dyDescent="0.3">
      <c r="A358" s="12">
        <v>43974</v>
      </c>
      <c r="B358" s="7" t="s">
        <v>23</v>
      </c>
      <c r="C358" s="7">
        <v>18</v>
      </c>
      <c r="D358" s="7">
        <v>1031</v>
      </c>
      <c r="E358" s="7">
        <v>918</v>
      </c>
    </row>
    <row r="359" spans="1:5" ht="14.25" customHeight="1" x14ac:dyDescent="0.3">
      <c r="A359" s="12">
        <v>43974</v>
      </c>
      <c r="B359" s="7" t="s">
        <v>18</v>
      </c>
      <c r="C359" s="7">
        <v>17</v>
      </c>
      <c r="D359" s="7">
        <v>1294</v>
      </c>
      <c r="E359" s="7">
        <v>1155</v>
      </c>
    </row>
    <row r="360" spans="1:5" ht="14.25" customHeight="1" x14ac:dyDescent="0.3">
      <c r="A360" s="12">
        <v>43974</v>
      </c>
      <c r="B360" s="7" t="s">
        <v>19</v>
      </c>
      <c r="C360" s="7">
        <v>15</v>
      </c>
      <c r="D360" s="7">
        <v>840</v>
      </c>
      <c r="E360" s="7">
        <v>725</v>
      </c>
    </row>
    <row r="361" spans="1:5" ht="14.25" customHeight="1" x14ac:dyDescent="0.3">
      <c r="A361" s="12">
        <v>43974</v>
      </c>
      <c r="B361" s="7" t="s">
        <v>15</v>
      </c>
      <c r="C361" s="7">
        <v>125</v>
      </c>
      <c r="D361" s="7">
        <v>24574</v>
      </c>
      <c r="E361" s="7">
        <v>22609</v>
      </c>
    </row>
    <row r="362" spans="1:5" ht="14.25" customHeight="1" x14ac:dyDescent="0.3">
      <c r="A362" s="12">
        <v>43974</v>
      </c>
      <c r="B362" s="7" t="s">
        <v>14</v>
      </c>
      <c r="C362" s="7">
        <v>129</v>
      </c>
      <c r="D362" s="7">
        <v>19856</v>
      </c>
      <c r="E362" s="7">
        <v>18325</v>
      </c>
    </row>
    <row r="363" spans="1:5" ht="14.25" customHeight="1" x14ac:dyDescent="0.3">
      <c r="A363" s="12">
        <v>43974</v>
      </c>
      <c r="B363" s="7" t="s">
        <v>12</v>
      </c>
      <c r="C363" s="7">
        <v>10</v>
      </c>
      <c r="D363" s="7">
        <v>828</v>
      </c>
      <c r="E363" s="7">
        <v>734</v>
      </c>
    </row>
    <row r="364" spans="1:5" ht="14.25" customHeight="1" x14ac:dyDescent="0.3">
      <c r="A364" s="12">
        <v>43975</v>
      </c>
      <c r="B364" s="7" t="s">
        <v>16</v>
      </c>
      <c r="C364" s="7">
        <v>36</v>
      </c>
      <c r="D364" s="7">
        <v>4915</v>
      </c>
      <c r="E364" s="7">
        <v>4562</v>
      </c>
    </row>
    <row r="365" spans="1:5" ht="14.25" customHeight="1" x14ac:dyDescent="0.3">
      <c r="A365" s="12">
        <v>43975</v>
      </c>
      <c r="B365" s="7" t="s">
        <v>11</v>
      </c>
      <c r="C365" s="7">
        <v>31</v>
      </c>
      <c r="D365" s="7">
        <v>5035</v>
      </c>
      <c r="E365" s="7">
        <v>4683</v>
      </c>
    </row>
    <row r="366" spans="1:5" ht="14.25" customHeight="1" x14ac:dyDescent="0.3">
      <c r="A366" s="12">
        <v>43975</v>
      </c>
      <c r="B366" s="7" t="s">
        <v>17</v>
      </c>
      <c r="C366" s="7">
        <v>21</v>
      </c>
      <c r="D366" s="7">
        <v>2254</v>
      </c>
      <c r="E366" s="7">
        <v>2061</v>
      </c>
    </row>
    <row r="367" spans="1:5" ht="14.25" customHeight="1" x14ac:dyDescent="0.3">
      <c r="A367" s="12">
        <v>43975</v>
      </c>
      <c r="B367" s="7" t="s">
        <v>10</v>
      </c>
      <c r="C367" s="7">
        <v>20</v>
      </c>
      <c r="D367" s="7">
        <v>1999</v>
      </c>
      <c r="E367" s="7">
        <v>1829</v>
      </c>
    </row>
    <row r="368" spans="1:5" ht="14.25" customHeight="1" x14ac:dyDescent="0.3">
      <c r="A368" s="12">
        <v>43975</v>
      </c>
      <c r="B368" s="7" t="s">
        <v>20</v>
      </c>
      <c r="C368" s="7">
        <v>19</v>
      </c>
      <c r="D368" s="7">
        <v>1868</v>
      </c>
      <c r="E368" s="7">
        <v>1706</v>
      </c>
    </row>
    <row r="369" spans="1:5" ht="14.25" customHeight="1" x14ac:dyDescent="0.3">
      <c r="A369" s="12">
        <v>43975</v>
      </c>
      <c r="B369" s="7" t="s">
        <v>22</v>
      </c>
      <c r="C369" s="7">
        <v>54</v>
      </c>
      <c r="D369" s="7">
        <v>12211</v>
      </c>
      <c r="E369" s="7">
        <v>11427</v>
      </c>
    </row>
    <row r="370" spans="1:5" ht="14.25" customHeight="1" x14ac:dyDescent="0.3">
      <c r="A370" s="12">
        <v>43975</v>
      </c>
      <c r="B370" s="7" t="s">
        <v>21</v>
      </c>
      <c r="C370" s="7">
        <v>60</v>
      </c>
      <c r="D370" s="7">
        <v>12822</v>
      </c>
      <c r="E370" s="7">
        <v>11916</v>
      </c>
    </row>
    <row r="371" spans="1:5" ht="14.25" customHeight="1" x14ac:dyDescent="0.3">
      <c r="A371" s="12">
        <v>43975</v>
      </c>
      <c r="B371" s="7" t="s">
        <v>13</v>
      </c>
      <c r="C371" s="7">
        <v>20</v>
      </c>
      <c r="D371" s="7">
        <v>2015</v>
      </c>
      <c r="E371" s="7">
        <v>1803</v>
      </c>
    </row>
    <row r="372" spans="1:5" ht="14.25" customHeight="1" x14ac:dyDescent="0.3">
      <c r="A372" s="12">
        <v>43975</v>
      </c>
      <c r="B372" s="7" t="s">
        <v>23</v>
      </c>
      <c r="C372" s="7">
        <v>18</v>
      </c>
      <c r="D372" s="7">
        <v>1006</v>
      </c>
      <c r="E372" s="7">
        <v>904</v>
      </c>
    </row>
    <row r="373" spans="1:5" ht="14.25" customHeight="1" x14ac:dyDescent="0.3">
      <c r="A373" s="12">
        <v>43975</v>
      </c>
      <c r="B373" s="7" t="s">
        <v>18</v>
      </c>
      <c r="C373" s="7">
        <v>17</v>
      </c>
      <c r="D373" s="7">
        <v>1128</v>
      </c>
      <c r="E373" s="7">
        <v>1001</v>
      </c>
    </row>
    <row r="374" spans="1:5" ht="14.25" customHeight="1" x14ac:dyDescent="0.3">
      <c r="A374" s="12">
        <v>43975</v>
      </c>
      <c r="B374" s="7" t="s">
        <v>19</v>
      </c>
      <c r="C374" s="7">
        <v>15</v>
      </c>
      <c r="D374" s="7">
        <v>779</v>
      </c>
      <c r="E374" s="7">
        <v>673</v>
      </c>
    </row>
    <row r="375" spans="1:5" ht="14.25" customHeight="1" x14ac:dyDescent="0.3">
      <c r="A375" s="12">
        <v>43975</v>
      </c>
      <c r="B375" s="7" t="s">
        <v>15</v>
      </c>
      <c r="C375" s="7">
        <v>125</v>
      </c>
      <c r="D375" s="7">
        <v>21004</v>
      </c>
      <c r="E375" s="7">
        <v>19556</v>
      </c>
    </row>
    <row r="376" spans="1:5" ht="14.25" customHeight="1" x14ac:dyDescent="0.3">
      <c r="A376" s="12">
        <v>43975</v>
      </c>
      <c r="B376" s="7" t="s">
        <v>14</v>
      </c>
      <c r="C376" s="7">
        <v>129</v>
      </c>
      <c r="D376" s="7">
        <v>16432</v>
      </c>
      <c r="E376" s="7">
        <v>15345</v>
      </c>
    </row>
    <row r="377" spans="1:5" ht="14.25" customHeight="1" x14ac:dyDescent="0.3">
      <c r="A377" s="12">
        <v>43975</v>
      </c>
      <c r="B377" s="7" t="s">
        <v>12</v>
      </c>
      <c r="C377" s="7">
        <v>10</v>
      </c>
      <c r="D377" s="7">
        <v>639</v>
      </c>
      <c r="E377" s="7">
        <v>557</v>
      </c>
    </row>
    <row r="378" spans="1:5" ht="14.25" customHeight="1" x14ac:dyDescent="0.3">
      <c r="A378" s="12">
        <v>43976</v>
      </c>
      <c r="B378" s="7" t="s">
        <v>16</v>
      </c>
      <c r="C378" s="7">
        <v>36</v>
      </c>
      <c r="D378" s="7">
        <v>4641</v>
      </c>
      <c r="E378" s="7">
        <v>4274</v>
      </c>
    </row>
    <row r="379" spans="1:5" ht="14.25" customHeight="1" x14ac:dyDescent="0.3">
      <c r="A379" s="12">
        <v>43976</v>
      </c>
      <c r="B379" s="7" t="s">
        <v>11</v>
      </c>
      <c r="C379" s="7">
        <v>31</v>
      </c>
      <c r="D379" s="7">
        <v>5210</v>
      </c>
      <c r="E379" s="7">
        <v>4841</v>
      </c>
    </row>
    <row r="380" spans="1:5" ht="14.25" customHeight="1" x14ac:dyDescent="0.3">
      <c r="A380" s="12">
        <v>43976</v>
      </c>
      <c r="B380" s="7" t="s">
        <v>17</v>
      </c>
      <c r="C380" s="7">
        <v>21</v>
      </c>
      <c r="D380" s="7">
        <v>2330</v>
      </c>
      <c r="E380" s="7">
        <v>2142</v>
      </c>
    </row>
    <row r="381" spans="1:5" ht="14.25" customHeight="1" x14ac:dyDescent="0.3">
      <c r="A381" s="12">
        <v>43976</v>
      </c>
      <c r="B381" s="7" t="s">
        <v>10</v>
      </c>
      <c r="C381" s="7">
        <v>20</v>
      </c>
      <c r="D381" s="7">
        <v>2087</v>
      </c>
      <c r="E381" s="7">
        <v>1914</v>
      </c>
    </row>
    <row r="382" spans="1:5" ht="14.25" customHeight="1" x14ac:dyDescent="0.3">
      <c r="A382" s="12">
        <v>43976</v>
      </c>
      <c r="B382" s="7" t="s">
        <v>20</v>
      </c>
      <c r="C382" s="7">
        <v>20</v>
      </c>
      <c r="D382" s="7">
        <v>1899</v>
      </c>
      <c r="E382" s="7">
        <v>1738</v>
      </c>
    </row>
    <row r="383" spans="1:5" ht="14.25" customHeight="1" x14ac:dyDescent="0.3">
      <c r="A383" s="12">
        <v>43976</v>
      </c>
      <c r="B383" s="7" t="s">
        <v>22</v>
      </c>
      <c r="C383" s="7">
        <v>54</v>
      </c>
      <c r="D383" s="7">
        <v>12336</v>
      </c>
      <c r="E383" s="7">
        <v>11519</v>
      </c>
    </row>
    <row r="384" spans="1:5" ht="14.25" customHeight="1" x14ac:dyDescent="0.3">
      <c r="A384" s="12">
        <v>43976</v>
      </c>
      <c r="B384" s="7" t="s">
        <v>21</v>
      </c>
      <c r="C384" s="7">
        <v>59</v>
      </c>
      <c r="D384" s="7">
        <v>12983</v>
      </c>
      <c r="E384" s="7">
        <v>12056</v>
      </c>
    </row>
    <row r="385" spans="1:5" ht="14.25" customHeight="1" x14ac:dyDescent="0.3">
      <c r="A385" s="12">
        <v>43976</v>
      </c>
      <c r="B385" s="7" t="s">
        <v>13</v>
      </c>
      <c r="C385" s="7">
        <v>20</v>
      </c>
      <c r="D385" s="7">
        <v>2011</v>
      </c>
      <c r="E385" s="7">
        <v>1791</v>
      </c>
    </row>
    <row r="386" spans="1:5" ht="14.25" customHeight="1" x14ac:dyDescent="0.3">
      <c r="A386" s="12">
        <v>43976</v>
      </c>
      <c r="B386" s="7" t="s">
        <v>23</v>
      </c>
      <c r="C386" s="7">
        <v>18</v>
      </c>
      <c r="D386" s="7">
        <v>989</v>
      </c>
      <c r="E386" s="7">
        <v>887</v>
      </c>
    </row>
    <row r="387" spans="1:5" ht="14.25" customHeight="1" x14ac:dyDescent="0.3">
      <c r="A387" s="12">
        <v>43976</v>
      </c>
      <c r="B387" s="7" t="s">
        <v>18</v>
      </c>
      <c r="C387" s="7">
        <v>17</v>
      </c>
      <c r="D387" s="7">
        <v>1142</v>
      </c>
      <c r="E387" s="7">
        <v>1020</v>
      </c>
    </row>
    <row r="388" spans="1:5" ht="14.25" customHeight="1" x14ac:dyDescent="0.3">
      <c r="A388" s="12">
        <v>43976</v>
      </c>
      <c r="B388" s="7" t="s">
        <v>19</v>
      </c>
      <c r="C388" s="7">
        <v>15</v>
      </c>
      <c r="D388" s="7">
        <v>835</v>
      </c>
      <c r="E388" s="7">
        <v>736</v>
      </c>
    </row>
    <row r="389" spans="1:5" ht="14.25" customHeight="1" x14ac:dyDescent="0.3">
      <c r="A389" s="12">
        <v>43976</v>
      </c>
      <c r="B389" s="7" t="s">
        <v>15</v>
      </c>
      <c r="C389" s="7">
        <v>124</v>
      </c>
      <c r="D389" s="7">
        <v>20358</v>
      </c>
      <c r="E389" s="7">
        <v>18890</v>
      </c>
    </row>
    <row r="390" spans="1:5" ht="14.25" customHeight="1" x14ac:dyDescent="0.3">
      <c r="A390" s="12">
        <v>43976</v>
      </c>
      <c r="B390" s="7" t="s">
        <v>14</v>
      </c>
      <c r="C390" s="7">
        <v>129</v>
      </c>
      <c r="D390" s="7">
        <v>15822</v>
      </c>
      <c r="E390" s="7">
        <v>14753</v>
      </c>
    </row>
    <row r="391" spans="1:5" ht="14.25" customHeight="1" x14ac:dyDescent="0.3">
      <c r="A391" s="12">
        <v>43976</v>
      </c>
      <c r="B391" s="7" t="s">
        <v>12</v>
      </c>
      <c r="C391" s="7">
        <v>10</v>
      </c>
      <c r="D391" s="7">
        <v>739</v>
      </c>
      <c r="E391" s="7">
        <v>642</v>
      </c>
    </row>
    <row r="392" spans="1:5" ht="14.25" customHeight="1" x14ac:dyDescent="0.3">
      <c r="A392" s="12">
        <v>43977</v>
      </c>
      <c r="B392" s="7" t="s">
        <v>16</v>
      </c>
      <c r="C392" s="7">
        <v>36</v>
      </c>
      <c r="D392" s="7">
        <v>4770</v>
      </c>
      <c r="E392" s="7">
        <v>4424</v>
      </c>
    </row>
    <row r="393" spans="1:5" ht="14.25" customHeight="1" x14ac:dyDescent="0.3">
      <c r="A393" s="12">
        <v>43977</v>
      </c>
      <c r="B393" s="7" t="s">
        <v>11</v>
      </c>
      <c r="C393" s="7">
        <v>31</v>
      </c>
      <c r="D393" s="7">
        <v>5493</v>
      </c>
      <c r="E393" s="7">
        <v>5119</v>
      </c>
    </row>
    <row r="394" spans="1:5" ht="14.25" customHeight="1" x14ac:dyDescent="0.3">
      <c r="A394" s="12">
        <v>43977</v>
      </c>
      <c r="B394" s="7" t="s">
        <v>17</v>
      </c>
      <c r="C394" s="7">
        <v>21</v>
      </c>
      <c r="D394" s="7">
        <v>2418</v>
      </c>
      <c r="E394" s="7">
        <v>2215</v>
      </c>
    </row>
    <row r="395" spans="1:5" ht="14.25" customHeight="1" x14ac:dyDescent="0.3">
      <c r="A395" s="12">
        <v>43977</v>
      </c>
      <c r="B395" s="7" t="s">
        <v>10</v>
      </c>
      <c r="C395" s="7">
        <v>20</v>
      </c>
      <c r="D395" s="7">
        <v>2044</v>
      </c>
      <c r="E395" s="7">
        <v>1863</v>
      </c>
    </row>
    <row r="396" spans="1:5" ht="14.25" customHeight="1" x14ac:dyDescent="0.3">
      <c r="A396" s="12">
        <v>43977</v>
      </c>
      <c r="B396" s="7" t="s">
        <v>20</v>
      </c>
      <c r="C396" s="7">
        <v>20</v>
      </c>
      <c r="D396" s="7">
        <v>1814</v>
      </c>
      <c r="E396" s="7">
        <v>1655</v>
      </c>
    </row>
    <row r="397" spans="1:5" ht="14.25" customHeight="1" x14ac:dyDescent="0.3">
      <c r="A397" s="12">
        <v>43977</v>
      </c>
      <c r="B397" s="7" t="s">
        <v>22</v>
      </c>
      <c r="C397" s="7">
        <v>54</v>
      </c>
      <c r="D397" s="7">
        <v>14482</v>
      </c>
      <c r="E397" s="7">
        <v>13510</v>
      </c>
    </row>
    <row r="398" spans="1:5" ht="14.25" customHeight="1" x14ac:dyDescent="0.3">
      <c r="A398" s="12">
        <v>43977</v>
      </c>
      <c r="B398" s="7" t="s">
        <v>21</v>
      </c>
      <c r="C398" s="7">
        <v>59</v>
      </c>
      <c r="D398" s="7">
        <v>15369</v>
      </c>
      <c r="E398" s="7">
        <v>14299</v>
      </c>
    </row>
    <row r="399" spans="1:5" ht="14.25" customHeight="1" x14ac:dyDescent="0.3">
      <c r="A399" s="12">
        <v>43977</v>
      </c>
      <c r="B399" s="7" t="s">
        <v>13</v>
      </c>
      <c r="C399" s="7">
        <v>20</v>
      </c>
      <c r="D399" s="7">
        <v>2036</v>
      </c>
      <c r="E399" s="7">
        <v>1790</v>
      </c>
    </row>
    <row r="400" spans="1:5" ht="14.25" customHeight="1" x14ac:dyDescent="0.3">
      <c r="A400" s="12">
        <v>43977</v>
      </c>
      <c r="B400" s="7" t="s">
        <v>23</v>
      </c>
      <c r="C400" s="7">
        <v>18</v>
      </c>
      <c r="D400" s="7">
        <v>914</v>
      </c>
      <c r="E400" s="7">
        <v>804</v>
      </c>
    </row>
    <row r="401" spans="1:5" ht="14.25" customHeight="1" x14ac:dyDescent="0.3">
      <c r="A401" s="12">
        <v>43977</v>
      </c>
      <c r="B401" s="7" t="s">
        <v>18</v>
      </c>
      <c r="C401" s="7">
        <v>17</v>
      </c>
      <c r="D401" s="7">
        <v>1140</v>
      </c>
      <c r="E401" s="7">
        <v>1016</v>
      </c>
    </row>
    <row r="402" spans="1:5" ht="14.25" customHeight="1" x14ac:dyDescent="0.3">
      <c r="A402" s="12">
        <v>43977</v>
      </c>
      <c r="B402" s="7" t="s">
        <v>19</v>
      </c>
      <c r="C402" s="7">
        <v>15</v>
      </c>
      <c r="D402" s="7">
        <v>812</v>
      </c>
      <c r="E402" s="7">
        <v>711</v>
      </c>
    </row>
    <row r="403" spans="1:5" ht="14.25" customHeight="1" x14ac:dyDescent="0.3">
      <c r="A403" s="12">
        <v>43977</v>
      </c>
      <c r="B403" s="7" t="s">
        <v>15</v>
      </c>
      <c r="C403" s="7">
        <v>124</v>
      </c>
      <c r="D403" s="7">
        <v>21153</v>
      </c>
      <c r="E403" s="7">
        <v>19673</v>
      </c>
    </row>
    <row r="404" spans="1:5" ht="14.25" customHeight="1" x14ac:dyDescent="0.3">
      <c r="A404" s="12">
        <v>43977</v>
      </c>
      <c r="B404" s="7" t="s">
        <v>14</v>
      </c>
      <c r="C404" s="7">
        <v>129</v>
      </c>
      <c r="D404" s="7">
        <v>16459</v>
      </c>
      <c r="E404" s="7">
        <v>15355</v>
      </c>
    </row>
    <row r="405" spans="1:5" ht="14.25" customHeight="1" x14ac:dyDescent="0.3">
      <c r="A405" s="12">
        <v>43977</v>
      </c>
      <c r="B405" s="7" t="s">
        <v>12</v>
      </c>
      <c r="C405" s="7">
        <v>10</v>
      </c>
      <c r="D405" s="7">
        <v>692</v>
      </c>
      <c r="E405" s="7">
        <v>601</v>
      </c>
    </row>
    <row r="406" spans="1:5" ht="14.25" customHeight="1" x14ac:dyDescent="0.3">
      <c r="A406" s="12">
        <v>43977</v>
      </c>
      <c r="B406" s="7" t="s">
        <v>24</v>
      </c>
      <c r="C406" s="7">
        <v>7</v>
      </c>
      <c r="D406" s="7">
        <v>577</v>
      </c>
      <c r="E406" s="7">
        <v>389</v>
      </c>
    </row>
    <row r="407" spans="1:5" ht="14.25" customHeight="1" x14ac:dyDescent="0.3">
      <c r="A407" s="12">
        <v>43978</v>
      </c>
      <c r="B407" s="7" t="s">
        <v>16</v>
      </c>
      <c r="C407" s="7">
        <v>36</v>
      </c>
      <c r="D407" s="7">
        <v>4951</v>
      </c>
      <c r="E407" s="7">
        <v>4584</v>
      </c>
    </row>
    <row r="408" spans="1:5" ht="14.25" customHeight="1" x14ac:dyDescent="0.3">
      <c r="A408" s="12">
        <v>43978</v>
      </c>
      <c r="B408" s="7" t="s">
        <v>11</v>
      </c>
      <c r="C408" s="7">
        <v>31</v>
      </c>
      <c r="D408" s="7">
        <v>5330</v>
      </c>
      <c r="E408" s="7">
        <v>4977</v>
      </c>
    </row>
    <row r="409" spans="1:5" ht="14.25" customHeight="1" x14ac:dyDescent="0.3">
      <c r="A409" s="12">
        <v>43978</v>
      </c>
      <c r="B409" s="7" t="s">
        <v>17</v>
      </c>
      <c r="C409" s="7">
        <v>21</v>
      </c>
      <c r="D409" s="7">
        <v>2430</v>
      </c>
      <c r="E409" s="7">
        <v>2216</v>
      </c>
    </row>
    <row r="410" spans="1:5" ht="14.25" customHeight="1" x14ac:dyDescent="0.3">
      <c r="A410" s="12">
        <v>43978</v>
      </c>
      <c r="B410" s="7" t="s">
        <v>10</v>
      </c>
      <c r="C410" s="7">
        <v>20</v>
      </c>
      <c r="D410" s="7">
        <v>2079</v>
      </c>
      <c r="E410" s="7">
        <v>1893</v>
      </c>
    </row>
    <row r="411" spans="1:5" ht="14.25" customHeight="1" x14ac:dyDescent="0.3">
      <c r="A411" s="12">
        <v>43978</v>
      </c>
      <c r="B411" s="7" t="s">
        <v>20</v>
      </c>
      <c r="C411" s="7">
        <v>20</v>
      </c>
      <c r="D411" s="7">
        <v>1873</v>
      </c>
      <c r="E411" s="7">
        <v>1715</v>
      </c>
    </row>
    <row r="412" spans="1:5" ht="14.25" customHeight="1" x14ac:dyDescent="0.3">
      <c r="A412" s="12">
        <v>43978</v>
      </c>
      <c r="B412" s="7" t="s">
        <v>22</v>
      </c>
      <c r="C412" s="7">
        <v>54</v>
      </c>
      <c r="D412" s="7">
        <v>13091</v>
      </c>
      <c r="E412" s="7">
        <v>12216</v>
      </c>
    </row>
    <row r="413" spans="1:5" ht="14.25" customHeight="1" x14ac:dyDescent="0.3">
      <c r="A413" s="12">
        <v>43978</v>
      </c>
      <c r="B413" s="7" t="s">
        <v>21</v>
      </c>
      <c r="C413" s="7">
        <v>59</v>
      </c>
      <c r="D413" s="7">
        <v>13942</v>
      </c>
      <c r="E413" s="7">
        <v>12986</v>
      </c>
    </row>
    <row r="414" spans="1:5" ht="14.25" customHeight="1" x14ac:dyDescent="0.3">
      <c r="A414" s="12">
        <v>43978</v>
      </c>
      <c r="B414" s="7" t="s">
        <v>13</v>
      </c>
      <c r="C414" s="7">
        <v>20</v>
      </c>
      <c r="D414" s="7">
        <v>2079</v>
      </c>
      <c r="E414" s="7">
        <v>1856</v>
      </c>
    </row>
    <row r="415" spans="1:5" ht="14.25" customHeight="1" x14ac:dyDescent="0.3">
      <c r="A415" s="12">
        <v>43978</v>
      </c>
      <c r="B415" s="7" t="s">
        <v>23</v>
      </c>
      <c r="C415" s="7">
        <v>18</v>
      </c>
      <c r="D415" s="7">
        <v>962</v>
      </c>
      <c r="E415" s="7">
        <v>859</v>
      </c>
    </row>
    <row r="416" spans="1:5" ht="14.25" customHeight="1" x14ac:dyDescent="0.3">
      <c r="A416" s="12">
        <v>43978</v>
      </c>
      <c r="B416" s="7" t="s">
        <v>18</v>
      </c>
      <c r="C416" s="7">
        <v>17</v>
      </c>
      <c r="D416" s="7">
        <v>1203</v>
      </c>
      <c r="E416" s="7">
        <v>1077</v>
      </c>
    </row>
    <row r="417" spans="1:5" ht="14.25" customHeight="1" x14ac:dyDescent="0.3">
      <c r="A417" s="12">
        <v>43978</v>
      </c>
      <c r="B417" s="7" t="s">
        <v>19</v>
      </c>
      <c r="C417" s="7">
        <v>15</v>
      </c>
      <c r="D417" s="7">
        <v>809</v>
      </c>
      <c r="E417" s="7">
        <v>702</v>
      </c>
    </row>
    <row r="418" spans="1:5" ht="14.25" customHeight="1" x14ac:dyDescent="0.3">
      <c r="A418" s="12">
        <v>43978</v>
      </c>
      <c r="B418" s="7" t="s">
        <v>15</v>
      </c>
      <c r="C418" s="7">
        <v>124</v>
      </c>
      <c r="D418" s="7">
        <v>21384</v>
      </c>
      <c r="E418" s="7">
        <v>19897</v>
      </c>
    </row>
    <row r="419" spans="1:5" ht="14.25" customHeight="1" x14ac:dyDescent="0.3">
      <c r="A419" s="12">
        <v>43978</v>
      </c>
      <c r="B419" s="7" t="s">
        <v>14</v>
      </c>
      <c r="C419" s="7">
        <v>129</v>
      </c>
      <c r="D419" s="7">
        <v>17115</v>
      </c>
      <c r="E419" s="7">
        <v>15962</v>
      </c>
    </row>
    <row r="420" spans="1:5" ht="14.25" customHeight="1" x14ac:dyDescent="0.3">
      <c r="A420" s="12">
        <v>43978</v>
      </c>
      <c r="B420" s="7" t="s">
        <v>12</v>
      </c>
      <c r="C420" s="7">
        <v>10</v>
      </c>
      <c r="D420" s="7">
        <v>757</v>
      </c>
      <c r="E420" s="7">
        <v>660</v>
      </c>
    </row>
    <row r="421" spans="1:5" ht="14.25" customHeight="1" x14ac:dyDescent="0.3">
      <c r="A421" s="12">
        <v>43978</v>
      </c>
      <c r="B421" s="7" t="s">
        <v>24</v>
      </c>
      <c r="C421" s="7">
        <v>7</v>
      </c>
      <c r="D421" s="7">
        <v>409</v>
      </c>
      <c r="E421" s="7">
        <v>329</v>
      </c>
    </row>
    <row r="422" spans="1:5" ht="14.25" customHeight="1" x14ac:dyDescent="0.3">
      <c r="A422" s="12">
        <v>43979</v>
      </c>
      <c r="B422" s="7" t="s">
        <v>16</v>
      </c>
      <c r="C422" s="7">
        <v>37</v>
      </c>
      <c r="D422" s="7">
        <v>4840</v>
      </c>
      <c r="E422" s="7">
        <v>4475</v>
      </c>
    </row>
    <row r="423" spans="1:5" ht="14.25" customHeight="1" x14ac:dyDescent="0.3">
      <c r="A423" s="12">
        <v>43979</v>
      </c>
      <c r="B423" s="7" t="s">
        <v>11</v>
      </c>
      <c r="C423" s="7">
        <v>31</v>
      </c>
      <c r="D423" s="7">
        <v>5355</v>
      </c>
      <c r="E423" s="7">
        <v>4969</v>
      </c>
    </row>
    <row r="424" spans="1:5" ht="14.25" customHeight="1" x14ac:dyDescent="0.3">
      <c r="A424" s="12">
        <v>43979</v>
      </c>
      <c r="B424" s="7" t="s">
        <v>17</v>
      </c>
      <c r="C424" s="7">
        <v>22</v>
      </c>
      <c r="D424" s="7">
        <v>2454</v>
      </c>
      <c r="E424" s="7">
        <v>2239</v>
      </c>
    </row>
    <row r="425" spans="1:5" ht="14.25" customHeight="1" x14ac:dyDescent="0.3">
      <c r="A425" s="12">
        <v>43979</v>
      </c>
      <c r="B425" s="7" t="s">
        <v>10</v>
      </c>
      <c r="C425" s="7">
        <v>20</v>
      </c>
      <c r="D425" s="7">
        <v>1886</v>
      </c>
      <c r="E425" s="7">
        <v>1736</v>
      </c>
    </row>
    <row r="426" spans="1:5" ht="14.25" customHeight="1" x14ac:dyDescent="0.3">
      <c r="A426" s="12">
        <v>43979</v>
      </c>
      <c r="B426" s="7" t="s">
        <v>20</v>
      </c>
      <c r="C426" s="7">
        <v>20</v>
      </c>
      <c r="D426" s="7">
        <v>1875</v>
      </c>
      <c r="E426" s="7">
        <v>1701</v>
      </c>
    </row>
    <row r="427" spans="1:5" ht="14.25" customHeight="1" x14ac:dyDescent="0.3">
      <c r="A427" s="12">
        <v>43979</v>
      </c>
      <c r="B427" s="7" t="s">
        <v>22</v>
      </c>
      <c r="C427" s="7">
        <v>54</v>
      </c>
      <c r="D427" s="7">
        <v>12409</v>
      </c>
      <c r="E427" s="7">
        <v>11582</v>
      </c>
    </row>
    <row r="428" spans="1:5" ht="14.25" customHeight="1" x14ac:dyDescent="0.3">
      <c r="A428" s="12">
        <v>43979</v>
      </c>
      <c r="B428" s="7" t="s">
        <v>21</v>
      </c>
      <c r="C428" s="7">
        <v>60</v>
      </c>
      <c r="D428" s="7">
        <v>12854</v>
      </c>
      <c r="E428" s="7">
        <v>11954</v>
      </c>
    </row>
    <row r="429" spans="1:5" ht="14.25" customHeight="1" x14ac:dyDescent="0.3">
      <c r="A429" s="12">
        <v>43979</v>
      </c>
      <c r="B429" s="7" t="s">
        <v>13</v>
      </c>
      <c r="C429" s="7">
        <v>20</v>
      </c>
      <c r="D429" s="7">
        <v>2088</v>
      </c>
      <c r="E429" s="7">
        <v>1848</v>
      </c>
    </row>
    <row r="430" spans="1:5" ht="14.25" customHeight="1" x14ac:dyDescent="0.3">
      <c r="A430" s="12">
        <v>43979</v>
      </c>
      <c r="B430" s="7" t="s">
        <v>23</v>
      </c>
      <c r="C430" s="7">
        <v>18</v>
      </c>
      <c r="D430" s="7">
        <v>1020</v>
      </c>
      <c r="E430" s="7">
        <v>911</v>
      </c>
    </row>
    <row r="431" spans="1:5" ht="14.25" customHeight="1" x14ac:dyDescent="0.3">
      <c r="A431" s="12">
        <v>43979</v>
      </c>
      <c r="B431" s="7" t="s">
        <v>18</v>
      </c>
      <c r="C431" s="7">
        <v>17</v>
      </c>
      <c r="D431" s="7">
        <v>1097</v>
      </c>
      <c r="E431" s="7">
        <v>968</v>
      </c>
    </row>
    <row r="432" spans="1:5" ht="14.25" customHeight="1" x14ac:dyDescent="0.3">
      <c r="A432" s="12">
        <v>43979</v>
      </c>
      <c r="B432" s="7" t="s">
        <v>19</v>
      </c>
      <c r="C432" s="7">
        <v>16</v>
      </c>
      <c r="D432" s="7">
        <v>876</v>
      </c>
      <c r="E432" s="7">
        <v>762</v>
      </c>
    </row>
    <row r="433" spans="1:5" ht="14.25" customHeight="1" x14ac:dyDescent="0.3">
      <c r="A433" s="12">
        <v>43979</v>
      </c>
      <c r="B433" s="7" t="s">
        <v>9</v>
      </c>
      <c r="C433" s="7">
        <v>15</v>
      </c>
      <c r="D433" s="7">
        <v>464</v>
      </c>
      <c r="E433" s="7">
        <v>390</v>
      </c>
    </row>
    <row r="434" spans="1:5" ht="14.25" customHeight="1" x14ac:dyDescent="0.3">
      <c r="A434" s="12">
        <v>43979</v>
      </c>
      <c r="B434" s="7" t="s">
        <v>15</v>
      </c>
      <c r="C434" s="7">
        <v>124</v>
      </c>
      <c r="D434" s="7">
        <v>20868</v>
      </c>
      <c r="E434" s="7">
        <v>19342</v>
      </c>
    </row>
    <row r="435" spans="1:5" ht="14.25" customHeight="1" x14ac:dyDescent="0.3">
      <c r="A435" s="12">
        <v>43979</v>
      </c>
      <c r="B435" s="7" t="s">
        <v>14</v>
      </c>
      <c r="C435" s="7">
        <v>129</v>
      </c>
      <c r="D435" s="7">
        <v>16453</v>
      </c>
      <c r="E435" s="7">
        <v>15289</v>
      </c>
    </row>
    <row r="436" spans="1:5" ht="14.25" customHeight="1" x14ac:dyDescent="0.3">
      <c r="A436" s="12">
        <v>43979</v>
      </c>
      <c r="B436" s="7" t="s">
        <v>12</v>
      </c>
      <c r="C436" s="7">
        <v>10</v>
      </c>
      <c r="D436" s="7">
        <v>791</v>
      </c>
      <c r="E436" s="7">
        <v>697</v>
      </c>
    </row>
    <row r="437" spans="1:5" ht="14.25" customHeight="1" x14ac:dyDescent="0.3">
      <c r="A437" s="12">
        <v>43979</v>
      </c>
      <c r="B437" s="7" t="s">
        <v>24</v>
      </c>
      <c r="C437" s="7">
        <v>7</v>
      </c>
      <c r="D437" s="7">
        <v>420</v>
      </c>
      <c r="E437" s="7">
        <v>347</v>
      </c>
    </row>
    <row r="438" spans="1:5" ht="14.25" customHeight="1" x14ac:dyDescent="0.3">
      <c r="A438" s="12">
        <v>43980</v>
      </c>
      <c r="B438" s="7" t="s">
        <v>16</v>
      </c>
      <c r="C438" s="7">
        <v>37</v>
      </c>
      <c r="D438" s="7">
        <v>5672</v>
      </c>
      <c r="E438" s="7">
        <v>5198</v>
      </c>
    </row>
    <row r="439" spans="1:5" ht="14.25" customHeight="1" x14ac:dyDescent="0.3">
      <c r="A439" s="12">
        <v>43980</v>
      </c>
      <c r="B439" s="7" t="s">
        <v>11</v>
      </c>
      <c r="C439" s="7">
        <v>31</v>
      </c>
      <c r="D439" s="7">
        <v>5751</v>
      </c>
      <c r="E439" s="7">
        <v>5319</v>
      </c>
    </row>
    <row r="440" spans="1:5" ht="14.25" customHeight="1" x14ac:dyDescent="0.3">
      <c r="A440" s="12">
        <v>43980</v>
      </c>
      <c r="B440" s="7" t="s">
        <v>17</v>
      </c>
      <c r="C440" s="7">
        <v>22</v>
      </c>
      <c r="D440" s="7">
        <v>2597</v>
      </c>
      <c r="E440" s="7">
        <v>2379</v>
      </c>
    </row>
    <row r="441" spans="1:5" ht="14.25" customHeight="1" x14ac:dyDescent="0.3">
      <c r="A441" s="12">
        <v>43980</v>
      </c>
      <c r="B441" s="7" t="s">
        <v>10</v>
      </c>
      <c r="C441" s="7">
        <v>20</v>
      </c>
      <c r="D441" s="7">
        <v>2111</v>
      </c>
      <c r="E441" s="7">
        <v>1917</v>
      </c>
    </row>
    <row r="442" spans="1:5" ht="14.25" customHeight="1" x14ac:dyDescent="0.3">
      <c r="A442" s="12">
        <v>43980</v>
      </c>
      <c r="B442" s="7" t="s">
        <v>20</v>
      </c>
      <c r="C442" s="7">
        <v>20</v>
      </c>
      <c r="D442" s="7">
        <v>2064</v>
      </c>
      <c r="E442" s="7">
        <v>1896</v>
      </c>
    </row>
    <row r="443" spans="1:5" ht="14.25" customHeight="1" x14ac:dyDescent="0.3">
      <c r="A443" s="12">
        <v>43980</v>
      </c>
      <c r="B443" s="7" t="s">
        <v>22</v>
      </c>
      <c r="C443" s="7">
        <v>54</v>
      </c>
      <c r="D443" s="7">
        <v>14031</v>
      </c>
      <c r="E443" s="7">
        <v>12943</v>
      </c>
    </row>
    <row r="444" spans="1:5" ht="14.25" customHeight="1" x14ac:dyDescent="0.3">
      <c r="A444" s="12">
        <v>43980</v>
      </c>
      <c r="B444" s="7" t="s">
        <v>21</v>
      </c>
      <c r="C444" s="7">
        <v>59</v>
      </c>
      <c r="D444" s="7">
        <v>14507</v>
      </c>
      <c r="E444" s="7">
        <v>13386</v>
      </c>
    </row>
    <row r="445" spans="1:5" ht="14.25" customHeight="1" x14ac:dyDescent="0.3">
      <c r="A445" s="12">
        <v>43980</v>
      </c>
      <c r="B445" s="7" t="s">
        <v>13</v>
      </c>
      <c r="C445" s="7">
        <v>20</v>
      </c>
      <c r="D445" s="7">
        <v>2249</v>
      </c>
      <c r="E445" s="7">
        <v>2000</v>
      </c>
    </row>
    <row r="446" spans="1:5" ht="14.25" customHeight="1" x14ac:dyDescent="0.3">
      <c r="A446" s="12">
        <v>43980</v>
      </c>
      <c r="B446" s="7" t="s">
        <v>23</v>
      </c>
      <c r="C446" s="7">
        <v>18</v>
      </c>
      <c r="D446" s="7">
        <v>1014</v>
      </c>
      <c r="E446" s="7">
        <v>893</v>
      </c>
    </row>
    <row r="447" spans="1:5" ht="14.25" customHeight="1" x14ac:dyDescent="0.3">
      <c r="A447" s="12">
        <v>43980</v>
      </c>
      <c r="B447" s="7" t="s">
        <v>18</v>
      </c>
      <c r="C447" s="7">
        <v>17</v>
      </c>
      <c r="D447" s="7">
        <v>1296</v>
      </c>
      <c r="E447" s="7">
        <v>1153</v>
      </c>
    </row>
    <row r="448" spans="1:5" ht="14.25" customHeight="1" x14ac:dyDescent="0.3">
      <c r="A448" s="12">
        <v>43980</v>
      </c>
      <c r="B448" s="7" t="s">
        <v>19</v>
      </c>
      <c r="C448" s="7">
        <v>16</v>
      </c>
      <c r="D448" s="7">
        <v>981</v>
      </c>
      <c r="E448" s="7">
        <v>859</v>
      </c>
    </row>
    <row r="449" spans="1:5" ht="14.25" customHeight="1" x14ac:dyDescent="0.3">
      <c r="A449" s="12">
        <v>43980</v>
      </c>
      <c r="B449" s="7" t="s">
        <v>9</v>
      </c>
      <c r="C449" s="7">
        <v>15</v>
      </c>
      <c r="D449" s="7">
        <v>400</v>
      </c>
      <c r="E449" s="7">
        <v>329</v>
      </c>
    </row>
    <row r="450" spans="1:5" ht="14.25" customHeight="1" x14ac:dyDescent="0.3">
      <c r="A450" s="12">
        <v>43980</v>
      </c>
      <c r="B450" s="7" t="s">
        <v>15</v>
      </c>
      <c r="C450" s="7">
        <v>124</v>
      </c>
      <c r="D450" s="7">
        <v>25828</v>
      </c>
      <c r="E450" s="7">
        <v>23974</v>
      </c>
    </row>
    <row r="451" spans="1:5" ht="14.25" customHeight="1" x14ac:dyDescent="0.3">
      <c r="A451" s="12">
        <v>43980</v>
      </c>
      <c r="B451" s="7" t="s">
        <v>14</v>
      </c>
      <c r="C451" s="7">
        <v>129</v>
      </c>
      <c r="D451" s="7">
        <v>22403</v>
      </c>
      <c r="E451" s="7">
        <v>20676</v>
      </c>
    </row>
    <row r="452" spans="1:5" ht="14.25" customHeight="1" x14ac:dyDescent="0.3">
      <c r="A452" s="12">
        <v>43980</v>
      </c>
      <c r="B452" s="7" t="s">
        <v>12</v>
      </c>
      <c r="C452" s="7">
        <v>10</v>
      </c>
      <c r="D452" s="7">
        <v>873</v>
      </c>
      <c r="E452" s="7">
        <v>770</v>
      </c>
    </row>
    <row r="453" spans="1:5" ht="14.25" customHeight="1" x14ac:dyDescent="0.3">
      <c r="A453" s="12">
        <v>43980</v>
      </c>
      <c r="B453" s="7" t="s">
        <v>24</v>
      </c>
      <c r="C453" s="7">
        <v>7</v>
      </c>
      <c r="D453" s="7">
        <v>491</v>
      </c>
      <c r="E453" s="7">
        <v>411</v>
      </c>
    </row>
    <row r="454" spans="1:5" ht="14.25" customHeight="1" x14ac:dyDescent="0.3">
      <c r="A454" s="12">
        <v>43981</v>
      </c>
      <c r="B454" s="7" t="s">
        <v>16</v>
      </c>
      <c r="C454" s="7">
        <v>37</v>
      </c>
      <c r="D454" s="7">
        <v>6645</v>
      </c>
      <c r="E454" s="7">
        <v>6122</v>
      </c>
    </row>
    <row r="455" spans="1:5" ht="14.25" customHeight="1" x14ac:dyDescent="0.3">
      <c r="A455" s="12">
        <v>43981</v>
      </c>
      <c r="B455" s="7" t="s">
        <v>11</v>
      </c>
      <c r="C455" s="7">
        <v>31</v>
      </c>
      <c r="D455" s="7">
        <v>6735</v>
      </c>
      <c r="E455" s="7">
        <v>6264</v>
      </c>
    </row>
    <row r="456" spans="1:5" ht="14.25" customHeight="1" x14ac:dyDescent="0.3">
      <c r="A456" s="12">
        <v>43981</v>
      </c>
      <c r="B456" s="7" t="s">
        <v>17</v>
      </c>
      <c r="C456" s="7">
        <v>22</v>
      </c>
      <c r="D456" s="7">
        <v>2793</v>
      </c>
      <c r="E456" s="7">
        <v>2539</v>
      </c>
    </row>
    <row r="457" spans="1:5" ht="14.25" customHeight="1" x14ac:dyDescent="0.3">
      <c r="A457" s="12">
        <v>43981</v>
      </c>
      <c r="B457" s="7" t="s">
        <v>10</v>
      </c>
      <c r="C457" s="7">
        <v>20</v>
      </c>
      <c r="D457" s="7">
        <v>2597</v>
      </c>
      <c r="E457" s="7">
        <v>2376</v>
      </c>
    </row>
    <row r="458" spans="1:5" ht="14.25" customHeight="1" x14ac:dyDescent="0.3">
      <c r="A458" s="12">
        <v>43981</v>
      </c>
      <c r="B458" s="7" t="s">
        <v>20</v>
      </c>
      <c r="C458" s="7">
        <v>20</v>
      </c>
      <c r="D458" s="7">
        <v>2174</v>
      </c>
      <c r="E458" s="7">
        <v>1957</v>
      </c>
    </row>
    <row r="459" spans="1:5" ht="14.25" customHeight="1" x14ac:dyDescent="0.3">
      <c r="A459" s="12">
        <v>43981</v>
      </c>
      <c r="B459" s="7" t="s">
        <v>22</v>
      </c>
      <c r="C459" s="7">
        <v>54</v>
      </c>
      <c r="D459" s="7">
        <v>14590</v>
      </c>
      <c r="E459" s="7">
        <v>13551</v>
      </c>
    </row>
    <row r="460" spans="1:5" ht="14.25" customHeight="1" x14ac:dyDescent="0.3">
      <c r="A460" s="12">
        <v>43981</v>
      </c>
      <c r="B460" s="7" t="s">
        <v>21</v>
      </c>
      <c r="C460" s="7">
        <v>59</v>
      </c>
      <c r="D460" s="7">
        <v>15030</v>
      </c>
      <c r="E460" s="7">
        <v>13956</v>
      </c>
    </row>
    <row r="461" spans="1:5" ht="14.25" customHeight="1" x14ac:dyDescent="0.3">
      <c r="A461" s="12">
        <v>43981</v>
      </c>
      <c r="B461" s="7" t="s">
        <v>13</v>
      </c>
      <c r="C461" s="7">
        <v>20</v>
      </c>
      <c r="D461" s="7">
        <v>2451</v>
      </c>
      <c r="E461" s="7">
        <v>2178</v>
      </c>
    </row>
    <row r="462" spans="1:5" ht="14.25" customHeight="1" x14ac:dyDescent="0.3">
      <c r="A462" s="12">
        <v>43981</v>
      </c>
      <c r="B462" s="7" t="s">
        <v>23</v>
      </c>
      <c r="C462" s="7">
        <v>18</v>
      </c>
      <c r="D462" s="7">
        <v>1216</v>
      </c>
      <c r="E462" s="7">
        <v>1101</v>
      </c>
    </row>
    <row r="463" spans="1:5" ht="14.25" customHeight="1" x14ac:dyDescent="0.3">
      <c r="A463" s="12">
        <v>43981</v>
      </c>
      <c r="B463" s="7" t="s">
        <v>18</v>
      </c>
      <c r="C463" s="7">
        <v>17</v>
      </c>
      <c r="D463" s="7">
        <v>1697</v>
      </c>
      <c r="E463" s="7">
        <v>1499</v>
      </c>
    </row>
    <row r="464" spans="1:5" ht="14.25" customHeight="1" x14ac:dyDescent="0.3">
      <c r="A464" s="12">
        <v>43981</v>
      </c>
      <c r="B464" s="7" t="s">
        <v>19</v>
      </c>
      <c r="C464" s="7">
        <v>16</v>
      </c>
      <c r="D464" s="7">
        <v>1048</v>
      </c>
      <c r="E464" s="7">
        <v>918</v>
      </c>
    </row>
    <row r="465" spans="1:5" ht="14.25" customHeight="1" x14ac:dyDescent="0.3">
      <c r="A465" s="12">
        <v>43981</v>
      </c>
      <c r="B465" s="7" t="s">
        <v>9</v>
      </c>
      <c r="C465" s="7">
        <v>15</v>
      </c>
      <c r="D465" s="7">
        <v>490</v>
      </c>
      <c r="E465" s="7">
        <v>409</v>
      </c>
    </row>
    <row r="466" spans="1:5" ht="14.25" customHeight="1" x14ac:dyDescent="0.3">
      <c r="A466" s="12">
        <v>43981</v>
      </c>
      <c r="B466" s="7" t="s">
        <v>15</v>
      </c>
      <c r="C466" s="7">
        <v>124</v>
      </c>
      <c r="D466" s="7">
        <v>24325</v>
      </c>
      <c r="E466" s="7">
        <v>22469</v>
      </c>
    </row>
    <row r="467" spans="1:5" ht="14.25" customHeight="1" x14ac:dyDescent="0.3">
      <c r="A467" s="12">
        <v>43981</v>
      </c>
      <c r="B467" s="7" t="s">
        <v>14</v>
      </c>
      <c r="C467" s="7">
        <v>129</v>
      </c>
      <c r="D467" s="7">
        <v>20243</v>
      </c>
      <c r="E467" s="7">
        <v>18711</v>
      </c>
    </row>
    <row r="468" spans="1:5" ht="14.25" customHeight="1" x14ac:dyDescent="0.3">
      <c r="A468" s="12">
        <v>43981</v>
      </c>
      <c r="B468" s="7" t="s">
        <v>12</v>
      </c>
      <c r="C468" s="7">
        <v>10</v>
      </c>
      <c r="D468" s="7">
        <v>865</v>
      </c>
      <c r="E468" s="7">
        <v>763</v>
      </c>
    </row>
    <row r="469" spans="1:5" ht="14.25" customHeight="1" x14ac:dyDescent="0.3">
      <c r="A469" s="12">
        <v>43981</v>
      </c>
      <c r="B469" s="7" t="s">
        <v>24</v>
      </c>
      <c r="C469" s="7">
        <v>7</v>
      </c>
      <c r="D469" s="7">
        <v>532</v>
      </c>
      <c r="E469" s="7">
        <v>449</v>
      </c>
    </row>
    <row r="470" spans="1:5" ht="14.25" customHeight="1" x14ac:dyDescent="0.3">
      <c r="A470" s="12">
        <v>43982</v>
      </c>
      <c r="B470" s="7" t="s">
        <v>16</v>
      </c>
      <c r="C470" s="7">
        <v>37</v>
      </c>
      <c r="D470" s="7">
        <v>5215</v>
      </c>
      <c r="E470" s="7">
        <v>4848</v>
      </c>
    </row>
    <row r="471" spans="1:5" ht="14.25" customHeight="1" x14ac:dyDescent="0.3">
      <c r="A471" s="12">
        <v>43982</v>
      </c>
      <c r="B471" s="7" t="s">
        <v>11</v>
      </c>
      <c r="C471" s="7">
        <v>31</v>
      </c>
      <c r="D471" s="7">
        <v>5760</v>
      </c>
      <c r="E471" s="7">
        <v>5367</v>
      </c>
    </row>
    <row r="472" spans="1:5" ht="14.25" customHeight="1" x14ac:dyDescent="0.3">
      <c r="A472" s="12">
        <v>43982</v>
      </c>
      <c r="B472" s="7" t="s">
        <v>17</v>
      </c>
      <c r="C472" s="7">
        <v>23</v>
      </c>
      <c r="D472" s="7">
        <v>2522</v>
      </c>
      <c r="E472" s="7">
        <v>2295</v>
      </c>
    </row>
    <row r="473" spans="1:5" ht="14.25" customHeight="1" x14ac:dyDescent="0.3">
      <c r="A473" s="12">
        <v>43982</v>
      </c>
      <c r="B473" s="7" t="s">
        <v>10</v>
      </c>
      <c r="C473" s="7">
        <v>21</v>
      </c>
      <c r="D473" s="7">
        <v>2271</v>
      </c>
      <c r="E473" s="7">
        <v>2085</v>
      </c>
    </row>
    <row r="474" spans="1:5" ht="14.25" customHeight="1" x14ac:dyDescent="0.3">
      <c r="A474" s="12">
        <v>43982</v>
      </c>
      <c r="B474" s="7" t="s">
        <v>20</v>
      </c>
      <c r="C474" s="7">
        <v>21</v>
      </c>
      <c r="D474" s="7">
        <v>2056</v>
      </c>
      <c r="E474" s="7">
        <v>1879</v>
      </c>
    </row>
    <row r="475" spans="1:5" ht="14.25" customHeight="1" x14ac:dyDescent="0.3">
      <c r="A475" s="12">
        <v>43982</v>
      </c>
      <c r="B475" s="7" t="s">
        <v>22</v>
      </c>
      <c r="C475" s="7">
        <v>54</v>
      </c>
      <c r="D475" s="7">
        <v>13106</v>
      </c>
      <c r="E475" s="7">
        <v>12164</v>
      </c>
    </row>
    <row r="476" spans="1:5" ht="14.25" customHeight="1" x14ac:dyDescent="0.3">
      <c r="A476" s="12">
        <v>43982</v>
      </c>
      <c r="B476" s="7" t="s">
        <v>21</v>
      </c>
      <c r="C476" s="7">
        <v>59</v>
      </c>
      <c r="D476" s="7">
        <v>13684</v>
      </c>
      <c r="E476" s="7">
        <v>12690</v>
      </c>
    </row>
    <row r="477" spans="1:5" ht="14.25" customHeight="1" x14ac:dyDescent="0.3">
      <c r="A477" s="12">
        <v>43982</v>
      </c>
      <c r="B477" s="7" t="s">
        <v>13</v>
      </c>
      <c r="C477" s="7">
        <v>20</v>
      </c>
      <c r="D477" s="7">
        <v>2060</v>
      </c>
      <c r="E477" s="7">
        <v>1826</v>
      </c>
    </row>
    <row r="478" spans="1:5" ht="14.25" customHeight="1" x14ac:dyDescent="0.3">
      <c r="A478" s="12">
        <v>43982</v>
      </c>
      <c r="B478" s="7" t="s">
        <v>23</v>
      </c>
      <c r="C478" s="7">
        <v>18</v>
      </c>
      <c r="D478" s="7">
        <v>1029</v>
      </c>
      <c r="E478" s="7">
        <v>925</v>
      </c>
    </row>
    <row r="479" spans="1:5" ht="14.25" customHeight="1" x14ac:dyDescent="0.3">
      <c r="A479" s="12">
        <v>43982</v>
      </c>
      <c r="B479" s="7" t="s">
        <v>18</v>
      </c>
      <c r="C479" s="7">
        <v>17</v>
      </c>
      <c r="D479" s="7">
        <v>1186</v>
      </c>
      <c r="E479" s="7">
        <v>1054</v>
      </c>
    </row>
    <row r="480" spans="1:5" ht="14.25" customHeight="1" x14ac:dyDescent="0.3">
      <c r="A480" s="12">
        <v>43982</v>
      </c>
      <c r="B480" s="7" t="s">
        <v>19</v>
      </c>
      <c r="C480" s="7">
        <v>16</v>
      </c>
      <c r="D480" s="7">
        <v>917</v>
      </c>
      <c r="E480" s="7">
        <v>802</v>
      </c>
    </row>
    <row r="481" spans="1:5" ht="14.25" customHeight="1" x14ac:dyDescent="0.3">
      <c r="A481" s="12">
        <v>43982</v>
      </c>
      <c r="B481" s="7" t="s">
        <v>9</v>
      </c>
      <c r="C481" s="7">
        <v>15</v>
      </c>
      <c r="D481" s="7">
        <v>441</v>
      </c>
      <c r="E481" s="7">
        <v>368</v>
      </c>
    </row>
    <row r="482" spans="1:5" ht="14.25" customHeight="1" x14ac:dyDescent="0.3">
      <c r="A482" s="12">
        <v>43982</v>
      </c>
      <c r="B482" s="7" t="s">
        <v>15</v>
      </c>
      <c r="C482" s="7">
        <v>124</v>
      </c>
      <c r="D482" s="7">
        <v>21392</v>
      </c>
      <c r="E482" s="7">
        <v>19869</v>
      </c>
    </row>
    <row r="483" spans="1:5" ht="14.25" customHeight="1" x14ac:dyDescent="0.3">
      <c r="A483" s="12">
        <v>43982</v>
      </c>
      <c r="B483" s="7" t="s">
        <v>14</v>
      </c>
      <c r="C483" s="7">
        <v>129</v>
      </c>
      <c r="D483" s="7">
        <v>17235</v>
      </c>
      <c r="E483" s="7">
        <v>16052</v>
      </c>
    </row>
    <row r="484" spans="1:5" ht="14.25" customHeight="1" x14ac:dyDescent="0.3">
      <c r="A484" s="12">
        <v>43982</v>
      </c>
      <c r="B484" s="7" t="s">
        <v>12</v>
      </c>
      <c r="C484" s="7">
        <v>10</v>
      </c>
      <c r="D484" s="7">
        <v>749</v>
      </c>
      <c r="E484" s="7">
        <v>655</v>
      </c>
    </row>
    <row r="485" spans="1:5" ht="14.25" customHeight="1" x14ac:dyDescent="0.3">
      <c r="A485" s="12">
        <v>43982</v>
      </c>
      <c r="B485" s="7" t="s">
        <v>25</v>
      </c>
      <c r="C485" s="7">
        <v>9</v>
      </c>
      <c r="D485" s="7">
        <v>345</v>
      </c>
      <c r="E485" s="7">
        <v>255</v>
      </c>
    </row>
    <row r="486" spans="1:5" ht="14.25" customHeight="1" x14ac:dyDescent="0.3">
      <c r="A486" s="12">
        <v>43982</v>
      </c>
      <c r="B486" s="7" t="s">
        <v>24</v>
      </c>
      <c r="C486" s="7">
        <v>7</v>
      </c>
      <c r="D486" s="7">
        <v>530</v>
      </c>
      <c r="E486" s="7">
        <v>447</v>
      </c>
    </row>
    <row r="487" spans="1:5" ht="14.25" customHeight="1" x14ac:dyDescent="0.3">
      <c r="A487" s="12">
        <v>43982</v>
      </c>
      <c r="B487" s="7" t="s">
        <v>26</v>
      </c>
      <c r="C487" s="7">
        <v>6</v>
      </c>
      <c r="D487" s="7">
        <v>261</v>
      </c>
      <c r="E487" s="7">
        <v>188</v>
      </c>
    </row>
    <row r="488" spans="1:5" ht="14.25" customHeight="1" x14ac:dyDescent="0.3">
      <c r="A488" s="12">
        <v>43983</v>
      </c>
      <c r="B488" s="7" t="s">
        <v>16</v>
      </c>
      <c r="C488" s="7">
        <v>37</v>
      </c>
      <c r="D488" s="7">
        <v>4722</v>
      </c>
      <c r="E488" s="7">
        <v>4352</v>
      </c>
    </row>
    <row r="489" spans="1:5" ht="14.25" customHeight="1" x14ac:dyDescent="0.3">
      <c r="A489" s="12">
        <v>43983</v>
      </c>
      <c r="B489" s="7" t="s">
        <v>11</v>
      </c>
      <c r="C489" s="7">
        <v>31</v>
      </c>
      <c r="D489" s="7">
        <v>5468</v>
      </c>
      <c r="E489" s="7">
        <v>5081</v>
      </c>
    </row>
    <row r="490" spans="1:5" ht="14.25" customHeight="1" x14ac:dyDescent="0.3">
      <c r="A490" s="12">
        <v>43983</v>
      </c>
      <c r="B490" s="7" t="s">
        <v>17</v>
      </c>
      <c r="C490" s="7">
        <v>23</v>
      </c>
      <c r="D490" s="7">
        <v>2531</v>
      </c>
      <c r="E490" s="7">
        <v>2296</v>
      </c>
    </row>
    <row r="491" spans="1:5" ht="14.25" customHeight="1" x14ac:dyDescent="0.3">
      <c r="A491" s="12">
        <v>43983</v>
      </c>
      <c r="B491" s="7" t="s">
        <v>10</v>
      </c>
      <c r="C491" s="7">
        <v>21</v>
      </c>
      <c r="D491" s="7">
        <v>2025</v>
      </c>
      <c r="E491" s="7">
        <v>1849</v>
      </c>
    </row>
    <row r="492" spans="1:5" ht="14.25" customHeight="1" x14ac:dyDescent="0.3">
      <c r="A492" s="12">
        <v>43983</v>
      </c>
      <c r="B492" s="7" t="s">
        <v>20</v>
      </c>
      <c r="C492" s="7">
        <v>21</v>
      </c>
      <c r="D492" s="7">
        <v>1879</v>
      </c>
      <c r="E492" s="7">
        <v>1720</v>
      </c>
    </row>
    <row r="493" spans="1:5" ht="14.25" customHeight="1" x14ac:dyDescent="0.3">
      <c r="A493" s="12">
        <v>43983</v>
      </c>
      <c r="B493" s="7" t="s">
        <v>22</v>
      </c>
      <c r="C493" s="7">
        <v>54</v>
      </c>
      <c r="D493" s="7">
        <v>11864</v>
      </c>
      <c r="E493" s="7">
        <v>11071</v>
      </c>
    </row>
    <row r="494" spans="1:5" ht="14.25" customHeight="1" x14ac:dyDescent="0.3">
      <c r="A494" s="12">
        <v>43983</v>
      </c>
      <c r="B494" s="7" t="s">
        <v>21</v>
      </c>
      <c r="C494" s="7">
        <v>59</v>
      </c>
      <c r="D494" s="7">
        <v>12299</v>
      </c>
      <c r="E494" s="7">
        <v>11448</v>
      </c>
    </row>
    <row r="495" spans="1:5" ht="14.25" customHeight="1" x14ac:dyDescent="0.3">
      <c r="A495" s="12">
        <v>43983</v>
      </c>
      <c r="B495" s="7" t="s">
        <v>13</v>
      </c>
      <c r="C495" s="7">
        <v>20</v>
      </c>
      <c r="D495" s="7">
        <v>2136</v>
      </c>
      <c r="E495" s="7">
        <v>1899</v>
      </c>
    </row>
    <row r="496" spans="1:5" ht="14.25" customHeight="1" x14ac:dyDescent="0.3">
      <c r="A496" s="12">
        <v>43983</v>
      </c>
      <c r="B496" s="7" t="s">
        <v>23</v>
      </c>
      <c r="C496" s="7">
        <v>18</v>
      </c>
      <c r="D496" s="7">
        <v>923</v>
      </c>
      <c r="E496" s="7">
        <v>824</v>
      </c>
    </row>
    <row r="497" spans="1:5" ht="14.25" customHeight="1" x14ac:dyDescent="0.3">
      <c r="A497" s="12">
        <v>43983</v>
      </c>
      <c r="B497" s="7" t="s">
        <v>18</v>
      </c>
      <c r="C497" s="7">
        <v>17</v>
      </c>
      <c r="D497" s="7">
        <v>1185</v>
      </c>
      <c r="E497" s="7">
        <v>1042</v>
      </c>
    </row>
    <row r="498" spans="1:5" ht="14.25" customHeight="1" x14ac:dyDescent="0.3">
      <c r="A498" s="12">
        <v>43983</v>
      </c>
      <c r="B498" s="7" t="s">
        <v>19</v>
      </c>
      <c r="C498" s="7">
        <v>16</v>
      </c>
      <c r="D498" s="7">
        <v>1019</v>
      </c>
      <c r="E498" s="7">
        <v>895</v>
      </c>
    </row>
    <row r="499" spans="1:5" ht="14.25" customHeight="1" x14ac:dyDescent="0.3">
      <c r="A499" s="12">
        <v>43983</v>
      </c>
      <c r="B499" s="7" t="s">
        <v>9</v>
      </c>
      <c r="C499" s="7">
        <v>15</v>
      </c>
      <c r="D499" s="7">
        <v>453</v>
      </c>
      <c r="E499" s="7">
        <v>370</v>
      </c>
    </row>
    <row r="500" spans="1:5" ht="14.25" customHeight="1" x14ac:dyDescent="0.3">
      <c r="A500" s="12">
        <v>43983</v>
      </c>
      <c r="B500" s="7" t="s">
        <v>15</v>
      </c>
      <c r="C500" s="7">
        <v>123</v>
      </c>
      <c r="D500" s="7">
        <v>20325</v>
      </c>
      <c r="E500" s="7">
        <v>18935</v>
      </c>
    </row>
    <row r="501" spans="1:5" ht="14.25" customHeight="1" x14ac:dyDescent="0.3">
      <c r="A501" s="12">
        <v>43983</v>
      </c>
      <c r="B501" s="7" t="s">
        <v>14</v>
      </c>
      <c r="C501" s="7">
        <v>128</v>
      </c>
      <c r="D501" s="7">
        <v>16285</v>
      </c>
      <c r="E501" s="7">
        <v>15130</v>
      </c>
    </row>
    <row r="502" spans="1:5" ht="14.25" customHeight="1" x14ac:dyDescent="0.3">
      <c r="A502" s="12">
        <v>43983</v>
      </c>
      <c r="B502" s="7" t="s">
        <v>12</v>
      </c>
      <c r="C502" s="7">
        <v>10</v>
      </c>
      <c r="D502" s="7">
        <v>719</v>
      </c>
      <c r="E502" s="7">
        <v>627</v>
      </c>
    </row>
    <row r="503" spans="1:5" ht="14.25" customHeight="1" x14ac:dyDescent="0.3">
      <c r="A503" s="12">
        <v>43983</v>
      </c>
      <c r="B503" s="7" t="s">
        <v>25</v>
      </c>
      <c r="C503" s="7">
        <v>9</v>
      </c>
      <c r="D503" s="7">
        <v>294</v>
      </c>
      <c r="E503" s="7">
        <v>224</v>
      </c>
    </row>
    <row r="504" spans="1:5" ht="14.25" customHeight="1" x14ac:dyDescent="0.3">
      <c r="A504" s="12">
        <v>43983</v>
      </c>
      <c r="B504" s="7" t="s">
        <v>24</v>
      </c>
      <c r="C504" s="7">
        <v>7</v>
      </c>
      <c r="D504" s="7">
        <v>500</v>
      </c>
      <c r="E504" s="7">
        <v>418</v>
      </c>
    </row>
    <row r="505" spans="1:5" ht="14.25" customHeight="1" x14ac:dyDescent="0.3">
      <c r="A505" s="12">
        <v>43983</v>
      </c>
      <c r="B505" s="7" t="s">
        <v>26</v>
      </c>
      <c r="C505" s="7">
        <v>6</v>
      </c>
      <c r="D505" s="7">
        <v>237</v>
      </c>
      <c r="E505" s="7">
        <v>175</v>
      </c>
    </row>
    <row r="506" spans="1:5" ht="14.25" customHeight="1" x14ac:dyDescent="0.3"/>
    <row r="507" spans="1:5" ht="14.25" customHeight="1" x14ac:dyDescent="0.3"/>
    <row r="508" spans="1:5" ht="14.25" customHeight="1" x14ac:dyDescent="0.3"/>
    <row r="509" spans="1:5" ht="14.25" customHeight="1" x14ac:dyDescent="0.3"/>
    <row r="510" spans="1:5" ht="14.25" customHeight="1" x14ac:dyDescent="0.3"/>
    <row r="511" spans="1:5" ht="14.25" customHeight="1" x14ac:dyDescent="0.3"/>
    <row r="512" spans="1:5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Сводная таблица</vt:lpstr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Student</cp:lastModifiedBy>
  <dcterms:created xsi:type="dcterms:W3CDTF">2021-09-13T10:17:58Z</dcterms:created>
  <dcterms:modified xsi:type="dcterms:W3CDTF">2026-05-01T11:32:07Z</dcterms:modified>
</cp:coreProperties>
</file>